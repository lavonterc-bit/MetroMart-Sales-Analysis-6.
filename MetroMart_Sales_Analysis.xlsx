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hidePivotFieldList="1"/>
  <mc:AlternateContent xmlns:mc="http://schemas.openxmlformats.org/markup-compatibility/2006">
    <mc:Choice Requires="x15">
      <x15ac:absPath xmlns:x15ac="http://schemas.microsoft.com/office/spreadsheetml/2010/11/ac" url="/Users/thoroughbred_tae/Downloads/"/>
    </mc:Choice>
  </mc:AlternateContent>
  <xr:revisionPtr revIDLastSave="0" documentId="8_{9BF69337-29CA-7847-87DB-FA4EBE4C6C0C}" xr6:coauthVersionLast="47" xr6:coauthVersionMax="47" xr10:uidLastSave="{00000000-0000-0000-0000-000000000000}"/>
  <bookViews>
    <workbookView xWindow="12380" yWindow="600" windowWidth="16420" windowHeight="17400" xr2:uid="{00000000-000D-0000-FFFF-FFFF00000000}"/>
  </bookViews>
  <sheets>
    <sheet name="Sales cleaned" sheetId="5" r:id="rId1"/>
    <sheet name="Pivot Table" sheetId="6" r:id="rId2"/>
    <sheet name="Detail1" sheetId="8" r:id="rId3"/>
    <sheet name="Sales" sheetId="1" r:id="rId4"/>
    <sheet name="Products" sheetId="2" r:id="rId5"/>
    <sheet name="Regions" sheetId="3" r:id="rId6"/>
    <sheet name="Business Report" sheetId="11" r:id="rId7"/>
  </sheets>
  <calcPr calcId="191029"/>
  <pivotCaches>
    <pivotCache cacheId="2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5" l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H4" i="5"/>
  <c r="H3" i="5"/>
  <c r="H2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 l="1"/>
</calcChain>
</file>

<file path=xl/sharedStrings.xml><?xml version="1.0" encoding="utf-8"?>
<sst xmlns="http://schemas.openxmlformats.org/spreadsheetml/2006/main" count="591" uniqueCount="167">
  <si>
    <t>SaleID</t>
  </si>
  <si>
    <t>SaleDate</t>
  </si>
  <si>
    <t>ProductID</t>
  </si>
  <si>
    <t>Quantity</t>
  </si>
  <si>
    <t>UnitPrice</t>
  </si>
  <si>
    <t>RegionID</t>
  </si>
  <si>
    <t>S1001</t>
  </si>
  <si>
    <t>P101</t>
  </si>
  <si>
    <t>R01</t>
  </si>
  <si>
    <t>S1002</t>
  </si>
  <si>
    <t>P106</t>
  </si>
  <si>
    <t>R04</t>
  </si>
  <si>
    <t>S1003</t>
  </si>
  <si>
    <t>P103</t>
  </si>
  <si>
    <t>R03</t>
  </si>
  <si>
    <t>S1004</t>
  </si>
  <si>
    <t>P108</t>
  </si>
  <si>
    <t>R02</t>
  </si>
  <si>
    <t>S1005</t>
  </si>
  <si>
    <t>P105</t>
  </si>
  <si>
    <t>S1006</t>
  </si>
  <si>
    <t>P102</t>
  </si>
  <si>
    <t>S1007</t>
  </si>
  <si>
    <t>P107</t>
  </si>
  <si>
    <t>S1008</t>
  </si>
  <si>
    <t>P104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</si>
  <si>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</si>
  <si>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</si>
  <si>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</si>
  <si>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</si>
  <si>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</si>
  <si>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</si>
  <si>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</si>
  <si>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</si>
  <si>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</si>
  <si>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</si>
  <si>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</si>
  <si>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</si>
  <si>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</si>
  <si>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</si>
  <si>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</si>
  <si>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</si>
  <si>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</si>
  <si>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</si>
  <si>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</si>
  <si>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</si>
  <si>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</si>
  <si>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</si>
  <si>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</si>
  <si>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</si>
  <si>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</si>
  <si>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</si>
  <si>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</si>
  <si>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</si>
  <si>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</si>
  <si>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</si>
  <si>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</si>
  <si>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</si>
  <si>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</si>
  <si>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</si>
  <si>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</si>
  <si>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</si>
  <si>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</si>
  <si>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</si>
  <si>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</si>
  <si>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</si>
  <si>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</si>
  <si>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</si>
  <si>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</si>
  <si>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</si>
  <si>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</si>
  <si>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</si>
  <si>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</si>
  <si>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</si>
  <si>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</si>
  <si>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</si>
  <si>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</si>
  <si>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</si>
  <si>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</si>
  <si>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</si>
  <si>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</si>
  <si>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</si>
  <si>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</si>
  <si>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</si>
  <si>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</si>
  <si>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S1069</t>
  </si>
  <si>
    <t>S1070</t>
  </si>
  <si>
    <t>S1071</t>
  </si>
  <si>
    <t>S1072</t>
  </si>
  <si>
    <t>ProductName</t>
  </si>
  <si>
    <t>Category</t>
  </si>
  <si>
    <t>CostPrice</t>
  </si>
  <si>
    <t>Coffee Maker</t>
  </si>
  <si>
    <t>Appliances</t>
  </si>
  <si>
    <t>Blender</t>
  </si>
  <si>
    <t>Desk Lamp</t>
  </si>
  <si>
    <t>Home</t>
  </si>
  <si>
    <t>Notebook</t>
  </si>
  <si>
    <t>Office</t>
  </si>
  <si>
    <t>Water Bottle</t>
  </si>
  <si>
    <t>Headphones</t>
  </si>
  <si>
    <t>Electronics</t>
  </si>
  <si>
    <t>USB Cable</t>
  </si>
  <si>
    <t>Desk Organizer</t>
  </si>
  <si>
    <t>RegionName</t>
  </si>
  <si>
    <t>State</t>
  </si>
  <si>
    <t>North</t>
  </si>
  <si>
    <t>TX</t>
  </si>
  <si>
    <t>South</t>
  </si>
  <si>
    <t>East</t>
  </si>
  <si>
    <t>West</t>
  </si>
  <si>
    <t>dataqaulity_status</t>
  </si>
  <si>
    <t>missing quantity- revenue unknown</t>
  </si>
  <si>
    <t xml:space="preserve">duplicate saleid - pending verification </t>
  </si>
  <si>
    <t>Confirmed Return</t>
  </si>
  <si>
    <t>Confirmed Giveaway</t>
  </si>
  <si>
    <t>Revenue</t>
  </si>
  <si>
    <t>Row Labels</t>
  </si>
  <si>
    <t>Grand Total</t>
  </si>
  <si>
    <t>Sum of Revenue</t>
  </si>
  <si>
    <t>productname</t>
  </si>
  <si>
    <t>Details for Sum of Revenue - productname: USB Cable</t>
  </si>
  <si>
    <t>4/2/26 - 4/8/26</t>
  </si>
  <si>
    <t>4/9/26 - 4/15/26</t>
  </si>
  <si>
    <t>4/16/26 - 4/22/26</t>
  </si>
  <si>
    <t>4/23/26 - 4/29/26</t>
  </si>
  <si>
    <t>4/30/26 - 5/6/26</t>
  </si>
  <si>
    <t>5/7/26 - 5/13/26</t>
  </si>
  <si>
    <t>5/14/26 - 5/20/26</t>
  </si>
  <si>
    <t>5/21/26 - 5/27/26</t>
  </si>
  <si>
    <t>5/28/26 - 6/3/26</t>
  </si>
  <si>
    <t>6/4/26 - 6/10/26</t>
  </si>
  <si>
    <t>6/11/26 - 6/17/26</t>
  </si>
  <si>
    <t>6/18/26 - 6/24/26</t>
  </si>
  <si>
    <t>6/25/26 - 7/1/26</t>
  </si>
  <si>
    <t>7/2/26 - 7/8/26</t>
  </si>
  <si>
    <t>7/9/26 - 7/15/26</t>
  </si>
  <si>
    <t>7/16/26 - 7/22/26</t>
  </si>
  <si>
    <t>7/23/26 - 7/29/26</t>
  </si>
  <si>
    <t>7/30/26 - 8/5/26</t>
  </si>
  <si>
    <t>8/6/26 - 8/12/26</t>
  </si>
  <si>
    <t>8/13/26 - 8/19/26</t>
  </si>
  <si>
    <t>8/20/26 - 8/26/26</t>
  </si>
  <si>
    <t>9/3/26 - 9/9/26</t>
  </si>
  <si>
    <t>9/10/26 - 9/16/26</t>
  </si>
  <si>
    <t>9/17/26 - 9/23/26</t>
  </si>
  <si>
    <t>9/24/26 - 9/26/26</t>
  </si>
  <si>
    <t xml:space="preserve">Organized Findings </t>
  </si>
  <si>
    <t xml:space="preserve">Area </t>
  </si>
  <si>
    <t>Overall revenue</t>
  </si>
  <si>
    <t>Product performance</t>
  </si>
  <si>
    <t>Regional performance</t>
  </si>
  <si>
    <t>Product + region</t>
  </si>
  <si>
    <t>Weekly performance</t>
  </si>
  <si>
    <t>Root cause</t>
  </si>
  <si>
    <t>Key Findings</t>
  </si>
  <si>
    <t>Decreased $243.05 (22.2%) from August to September</t>
  </si>
  <si>
    <t>Blender revenue declined $359.94</t>
  </si>
  <si>
    <t>R04 (West) revenue declined $526.98</t>
  </si>
  <si>
    <t>R04 sold 9 Blenders in August and 0 in September</t>
  </si>
  <si>
    <t>August's highest and lowest seven-day periods differed by $602.91</t>
  </si>
  <si>
    <t>Not established by available data</t>
  </si>
  <si>
    <t>MetroMart Sales Performance — Executive Summary</t>
  </si>
  <si>
    <t>MetroMart's revenue declined from $1,093.27 in August to $850.22 in September 2026, representing a 22.2% decrease.</t>
  </si>
  <si>
    <t>The decline was primarily associated with weaker performance in the West region (R04), where revenue fell by $526.98. Blender sales were a significant contributor, with R04 selling nine units in August and none in September.</t>
  </si>
  <si>
    <t>Although other products and regions partially offset these losses, the available data does not establish the underlying cause of the decline.</t>
  </si>
  <si>
    <t>Management should investigate inventory availability, customer demand, and promotional activity before implementing corrective measures.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</si>
</sst>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yyyy\-mm\-dd"/>
    <numFmt numFmtId="165" formatCode="\$#,##0.00"/>
  </numFmts>
  <fonts count="9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11"/>
      <color rgb="FF000000"/>
      <name val="Carlito"/>
    </font>
    <font>
      <b/>
      <sz val="11"/>
      <name val="Carlito"/>
    </font>
    <font>
      <sz val="20"/>
      <name val="Carlito"/>
    </font>
    <font>
      <b/>
      <sz val="26"/>
      <name val="Carlito"/>
    </font>
    <font>
      <sz val="20"/>
      <color rgb="FF000000"/>
      <name val="Carlito"/>
    </font>
    <font>
      <b/>
      <sz val="2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83153"/>
      </patternFill>
    </fill>
    <fill>
      <patternFill patternType="solid">
        <fgColor rgb="FF18315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4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44" fontId="1" fillId="2" borderId="0" xfId="1" applyFont="1" applyFill="1"/>
    <xf numFmtId="4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1" fillId="3" borderId="0" xfId="0" applyFont="1" applyFill="1"/>
    <xf numFmtId="14" fontId="0" fillId="0" borderId="0" xfId="0" applyNumberForma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6" fillId="0" borderId="0" xfId="0" applyFont="1"/>
    <xf numFmtId="0" fontId="8" fillId="0" borderId="0" xfId="0" applyFont="1" applyAlignment="1">
      <alignment wrapText="1"/>
    </xf>
    <xf numFmtId="0" fontId="8" fillId="0" borderId="0" xfId="0" applyFont="1"/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Currency" xfId="1" builtinId="4"/>
    <cellStyle name="Normal" xfId="0" builtinId="0"/>
  </cellStyles>
  <dxfs count="6">
    <dxf>
      <numFmt numFmtId="19" formatCode="m/d/yy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</dxf>
    <dxf>
      <numFmt numFmtId="165" formatCode="\$#,##0.00"/>
    </dxf>
    <dxf>
      <numFmt numFmtId="164" formatCode="yyyy\-mm\-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8315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vonte Culmer" refreshedDate="46310.578468518521" createdVersion="8" refreshedVersion="8" minRefreshableVersion="3" recordCount="72" xr:uid="{60E432B2-3E52-C948-B151-83A3F57BFCCA}">
  <cacheSource type="worksheet">
    <worksheetSource ref="A1:I73" sheet="Sales cleaned"/>
  </cacheSource>
  <cacheFields count="12">
    <cacheField name="SaleID" numFmtId="0">
      <sharedItems/>
    </cacheField>
    <cacheField name="SaleDate" numFmtId="164">
      <sharedItems containsSemiMixedTypes="0" containsNonDate="0" containsDate="1" containsString="0" minDate="2026-04-02T00:00:00" maxDate="2026-09-26T00:00:00" count="72">
        <d v="2026-04-02T00:00:00"/>
        <d v="2026-04-09T00:00:00"/>
        <d v="2026-04-16T00:00:00"/>
        <d v="2026-04-23T00:00:00"/>
        <d v="2026-04-05T00:00:00"/>
        <d v="2026-04-12T00:00:00"/>
        <d v="2026-04-19T00:00:00"/>
        <d v="2026-04-26T00:00:00"/>
        <d v="2026-04-08T00:00:00"/>
        <d v="2026-04-15T00:00:00"/>
        <d v="2026-04-22T00:00:00"/>
        <d v="2026-04-04T00:00:00"/>
        <d v="2026-05-11T00:00:00"/>
        <d v="2026-05-18T00:00:00"/>
        <d v="2026-05-25T00:00:00"/>
        <d v="2026-05-07T00:00:00"/>
        <d v="2026-05-14T00:00:00"/>
        <d v="2026-05-21T00:00:00"/>
        <d v="2026-05-03T00:00:00"/>
        <d v="2026-05-10T00:00:00"/>
        <d v="2026-05-17T00:00:00"/>
        <d v="2026-05-24T00:00:00"/>
        <d v="2026-05-06T00:00:00"/>
        <d v="2026-05-13T00:00:00"/>
        <d v="2026-06-20T00:00:00"/>
        <d v="2026-06-02T00:00:00"/>
        <d v="2026-06-09T00:00:00"/>
        <d v="2026-06-16T00:00:00"/>
        <d v="2026-06-23T00:00:00"/>
        <d v="2026-06-05T00:00:00"/>
        <d v="2026-06-12T00:00:00"/>
        <d v="2026-06-19T00:00:00"/>
        <d v="2026-06-26T00:00:00"/>
        <d v="2026-06-08T00:00:00"/>
        <d v="2026-06-15T00:00:00"/>
        <d v="2026-06-22T00:00:00"/>
        <d v="2026-07-04T00:00:00"/>
        <d v="2026-07-11T00:00:00"/>
        <d v="2026-07-18T00:00:00"/>
        <d v="2026-07-25T00:00:00"/>
        <d v="2026-07-07T00:00:00"/>
        <d v="2026-07-14T00:00:00"/>
        <d v="2026-07-21T00:00:00"/>
        <d v="2026-07-03T00:00:00"/>
        <d v="2026-07-10T00:00:00"/>
        <d v="2026-07-17T00:00:00"/>
        <d v="2026-07-24T00:00:00"/>
        <d v="2026-07-06T00:00:00"/>
        <d v="2026-08-13T00:00:00"/>
        <d v="2026-08-20T00:00:00"/>
        <d v="2026-08-02T00:00:00"/>
        <d v="2026-08-09T00:00:00"/>
        <d v="2026-08-16T00:00:00"/>
        <d v="2026-08-23T00:00:00"/>
        <d v="2026-08-05T00:00:00"/>
        <d v="2026-08-12T00:00:00"/>
        <d v="2026-08-19T00:00:00"/>
        <d v="2026-08-26T00:00:00"/>
        <d v="2026-08-08T00:00:00"/>
        <d v="2026-08-15T00:00:00"/>
        <d v="2026-09-22T00:00:00"/>
        <d v="2026-09-04T00:00:00"/>
        <d v="2026-09-11T00:00:00"/>
        <d v="2026-09-18T00:00:00"/>
        <d v="2026-09-25T00:00:00"/>
        <d v="2026-09-07T00:00:00"/>
        <d v="2026-09-14T00:00:00"/>
        <d v="2026-09-21T00:00:00"/>
        <d v="2026-09-03T00:00:00"/>
        <d v="2026-09-10T00:00:00"/>
        <d v="2026-09-17T00:00:00"/>
        <d v="2026-09-24T00:00:00"/>
      </sharedItems>
      <fieldGroup par="11"/>
    </cacheField>
    <cacheField name="ProductID" numFmtId="0">
      <sharedItems/>
    </cacheField>
    <cacheField name="Quantity" numFmtId="0">
      <sharedItems containsString="0" containsBlank="1" containsNumber="1" containsInteger="1" minValue="-2" maxValue="5"/>
    </cacheField>
    <cacheField name="UnitPrice" numFmtId="165">
      <sharedItems containsSemiMixedTypes="0" containsString="0" containsNumber="1" minValue="0" maxValue="59.99"/>
    </cacheField>
    <cacheField name="RegionID" numFmtId="0">
      <sharedItems count="4">
        <s v="R01"/>
        <s v="R04"/>
        <s v="R03"/>
        <s v="R02"/>
      </sharedItems>
    </cacheField>
    <cacheField name="dataqaulity_status" numFmtId="0">
      <sharedItems containsBlank="1"/>
    </cacheField>
    <cacheField name="Revenue" numFmtId="44">
      <sharedItems containsMixedTypes="1" containsNumber="1" minValue="-19.98" maxValue="299.95"/>
    </cacheField>
    <cacheField name="productname" numFmtId="0">
      <sharedItems count="8">
        <s v="Coffee Maker"/>
        <s v="Headphones"/>
        <s v="Desk Lamp"/>
        <s v="Desk Organizer"/>
        <s v="Water Bottle"/>
        <s v="Blender"/>
        <s v="USB Cable"/>
        <s v="Notebook"/>
      </sharedItems>
    </cacheField>
    <cacheField name="Field1" numFmtId="0" formula="Quantity" databaseField="0"/>
    <cacheField name="Field2" numFmtId="0" formula="RegionID" databaseField="0"/>
    <cacheField name="Days (SaleDate)" numFmtId="0" databaseField="0">
      <fieldGroup base="1">
        <rangePr groupBy="days" startDate="2026-04-02T00:00:00" endDate="2026-09-26T00:00:00" groupInterval="7"/>
        <groupItems count="28">
          <s v="&lt;4/2/26"/>
          <s v="4/2/26 - 4/8/26"/>
          <s v="4/9/26 - 4/15/26"/>
          <s v="4/16/26 - 4/22/26"/>
          <s v="4/23/26 - 4/29/26"/>
          <s v="4/30/26 - 5/6/26"/>
          <s v="5/7/26 - 5/13/26"/>
          <s v="5/14/26 - 5/20/26"/>
          <s v="5/21/26 - 5/27/26"/>
          <s v="5/28/26 - 6/3/26"/>
          <s v="6/4/26 - 6/10/26"/>
          <s v="6/11/26 - 6/17/26"/>
          <s v="6/18/26 - 6/24/26"/>
          <s v="6/25/26 - 7/1/26"/>
          <s v="7/2/26 - 7/8/26"/>
          <s v="7/9/26 - 7/15/26"/>
          <s v="7/16/26 - 7/22/26"/>
          <s v="7/23/26 - 7/29/26"/>
          <s v="7/30/26 - 8/5/26"/>
          <s v="8/6/26 - 8/12/26"/>
          <s v="8/13/26 - 8/19/26"/>
          <s v="8/20/26 - 8/26/26"/>
          <s v="8/27/26 - 9/2/26"/>
          <s v="9/3/26 - 9/9/26"/>
          <s v="9/10/26 - 9/16/26"/>
          <s v="9/17/26 - 9/23/26"/>
          <s v="9/24/26 - 9/26/26"/>
          <s v="&gt;9/26/26"/>
        </groupItems>
      </fieldGroup>
    </cacheField>
  </cacheFields>
  <extLst>
    <ext xmlns:x14="http://schemas.microsoft.com/office/spreadsheetml/2009/9/main" uri="{725AE2AE-9491-48be-B2B4-4EB974FC3084}">
      <x14:pivotCacheDefinition pivotCacheId="154834940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s v="S1001"/>
    <x v="0"/>
    <s v="P101"/>
    <n v="1"/>
    <n v="49.99"/>
    <x v="0"/>
    <m/>
    <n v="49.99"/>
    <x v="0"/>
  </r>
  <r>
    <s v="S1002"/>
    <x v="1"/>
    <s v="P106"/>
    <n v="3"/>
    <n v="39.99"/>
    <x v="1"/>
    <m/>
    <n v="119.97"/>
    <x v="1"/>
  </r>
  <r>
    <s v="S1003"/>
    <x v="2"/>
    <s v="P103"/>
    <n v="5"/>
    <n v="25"/>
    <x v="2"/>
    <m/>
    <n v="125"/>
    <x v="2"/>
  </r>
  <r>
    <s v="S1004"/>
    <x v="3"/>
    <s v="P108"/>
    <n v="2"/>
    <n v="18.989999999999998"/>
    <x v="3"/>
    <m/>
    <n v="37.979999999999997"/>
    <x v="3"/>
  </r>
  <r>
    <s v="S1005"/>
    <x v="4"/>
    <s v="P105"/>
    <n v="4"/>
    <n v="14.5"/>
    <x v="0"/>
    <m/>
    <n v="58"/>
    <x v="4"/>
  </r>
  <r>
    <s v="S1006"/>
    <x v="5"/>
    <s v="P102"/>
    <n v="1"/>
    <n v="59.99"/>
    <x v="1"/>
    <m/>
    <n v="59.99"/>
    <x v="5"/>
  </r>
  <r>
    <s v="S1007"/>
    <x v="6"/>
    <s v="P107"/>
    <n v="3"/>
    <n v="9.99"/>
    <x v="2"/>
    <m/>
    <n v="29.97"/>
    <x v="6"/>
  </r>
  <r>
    <s v="S1008"/>
    <x v="7"/>
    <s v="P104"/>
    <n v="5"/>
    <n v="5.99"/>
    <x v="3"/>
    <m/>
    <n v="29.950000000000003"/>
    <x v="7"/>
  </r>
  <r>
    <s v="S1009"/>
    <x v="8"/>
    <s v="P101"/>
    <n v="2"/>
    <n v="49.99"/>
    <x v="0"/>
    <m/>
    <n v="99.98"/>
    <x v="0"/>
  </r>
  <r>
    <s v="S1010"/>
    <x v="9"/>
    <s v="P106"/>
    <n v="4"/>
    <n v="39.99"/>
    <x v="1"/>
    <m/>
    <n v="159.96"/>
    <x v="1"/>
  </r>
  <r>
    <s v="S1011"/>
    <x v="10"/>
    <s v="P103"/>
    <n v="1"/>
    <n v="25"/>
    <x v="2"/>
    <m/>
    <n v="25"/>
    <x v="2"/>
  </r>
  <r>
    <s v="S1012"/>
    <x v="11"/>
    <s v="P108"/>
    <n v="3"/>
    <n v="18.989999999999998"/>
    <x v="3"/>
    <m/>
    <n v="56.97"/>
    <x v="3"/>
  </r>
  <r>
    <s v="S1013"/>
    <x v="12"/>
    <s v="P103"/>
    <n v="5"/>
    <n v="39.99"/>
    <x v="3"/>
    <m/>
    <n v="199.95000000000002"/>
    <x v="2"/>
  </r>
  <r>
    <s v="S1014"/>
    <x v="13"/>
    <s v="P103"/>
    <n v="2"/>
    <n v="25"/>
    <x v="0"/>
    <m/>
    <n v="50"/>
    <x v="2"/>
  </r>
  <r>
    <s v="S1015"/>
    <x v="14"/>
    <s v="P108"/>
    <n v="4"/>
    <n v="18.989999999999998"/>
    <x v="1"/>
    <m/>
    <n v="75.959999999999994"/>
    <x v="3"/>
  </r>
  <r>
    <s v="S1016"/>
    <x v="15"/>
    <s v="P105"/>
    <n v="1"/>
    <n v="14.5"/>
    <x v="2"/>
    <m/>
    <n v="14.5"/>
    <x v="4"/>
  </r>
  <r>
    <s v="S1017"/>
    <x v="16"/>
    <s v="P102"/>
    <n v="3"/>
    <n v="59.99"/>
    <x v="3"/>
    <m/>
    <n v="179.97"/>
    <x v="5"/>
  </r>
  <r>
    <s v="S1018"/>
    <x v="17"/>
    <s v="P107"/>
    <n v="5"/>
    <n v="9.99"/>
    <x v="0"/>
    <m/>
    <n v="49.95"/>
    <x v="6"/>
  </r>
  <r>
    <s v="S1019"/>
    <x v="18"/>
    <s v="P104"/>
    <n v="2"/>
    <n v="5.99"/>
    <x v="1"/>
    <m/>
    <n v="11.98"/>
    <x v="7"/>
  </r>
  <r>
    <s v="S1020"/>
    <x v="19"/>
    <s v="P101"/>
    <n v="4"/>
    <n v="49.99"/>
    <x v="2"/>
    <m/>
    <n v="199.96"/>
    <x v="0"/>
  </r>
  <r>
    <s v="S1021"/>
    <x v="20"/>
    <s v="P106"/>
    <n v="1"/>
    <n v="39.99"/>
    <x v="3"/>
    <m/>
    <n v="39.99"/>
    <x v="1"/>
  </r>
  <r>
    <s v="S1022"/>
    <x v="21"/>
    <s v="P103"/>
    <n v="3"/>
    <n v="25"/>
    <x v="0"/>
    <m/>
    <n v="75"/>
    <x v="2"/>
  </r>
  <r>
    <s v="S1023"/>
    <x v="22"/>
    <s v="P108"/>
    <n v="5"/>
    <n v="18.989999999999998"/>
    <x v="1"/>
    <m/>
    <n v="94.949999999999989"/>
    <x v="3"/>
  </r>
  <r>
    <s v="S1024"/>
    <x v="23"/>
    <s v="P105"/>
    <m/>
    <n v="14.5"/>
    <x v="2"/>
    <s v="missing quantity- revenue unknown"/>
    <s v=""/>
    <x v="4"/>
  </r>
  <r>
    <s v="S1025"/>
    <x v="24"/>
    <s v="P103"/>
    <n v="4"/>
    <n v="25"/>
    <x v="2"/>
    <m/>
    <n v="100"/>
    <x v="2"/>
  </r>
  <r>
    <s v="S1026"/>
    <x v="25"/>
    <s v="P108"/>
    <n v="1"/>
    <n v="18.989999999999998"/>
    <x v="3"/>
    <m/>
    <n v="18.989999999999998"/>
    <x v="3"/>
  </r>
  <r>
    <s v="S1027"/>
    <x v="26"/>
    <s v="P105"/>
    <n v="3"/>
    <n v="14.5"/>
    <x v="0"/>
    <m/>
    <n v="43.5"/>
    <x v="4"/>
  </r>
  <r>
    <s v="S1028"/>
    <x v="27"/>
    <s v="P102"/>
    <n v="5"/>
    <n v="59.99"/>
    <x v="1"/>
    <m/>
    <n v="299.95"/>
    <x v="5"/>
  </r>
  <r>
    <s v="S1029"/>
    <x v="28"/>
    <s v="P107"/>
    <n v="2"/>
    <n v="9.99"/>
    <x v="2"/>
    <m/>
    <n v="19.98"/>
    <x v="6"/>
  </r>
  <r>
    <s v="S1030"/>
    <x v="29"/>
    <s v="P104"/>
    <n v="4"/>
    <n v="5.99"/>
    <x v="3"/>
    <m/>
    <n v="23.96"/>
    <x v="7"/>
  </r>
  <r>
    <s v="S1031"/>
    <x v="30"/>
    <s v="P101"/>
    <n v="1"/>
    <n v="49.99"/>
    <x v="0"/>
    <m/>
    <n v="49.99"/>
    <x v="0"/>
  </r>
  <r>
    <s v="S1032"/>
    <x v="31"/>
    <s v="P106"/>
    <n v="3"/>
    <n v="39.99"/>
    <x v="1"/>
    <m/>
    <n v="119.97"/>
    <x v="1"/>
  </r>
  <r>
    <s v="S1033"/>
    <x v="32"/>
    <s v="P103"/>
    <n v="5"/>
    <n v="25"/>
    <x v="2"/>
    <m/>
    <n v="125"/>
    <x v="2"/>
  </r>
  <r>
    <s v="S1034"/>
    <x v="33"/>
    <s v="P108"/>
    <n v="2"/>
    <n v="18.989999999999998"/>
    <x v="3"/>
    <m/>
    <n v="37.979999999999997"/>
    <x v="3"/>
  </r>
  <r>
    <s v="S1035"/>
    <x v="34"/>
    <s v="P105"/>
    <n v="4"/>
    <n v="14.5"/>
    <x v="0"/>
    <m/>
    <n v="58"/>
    <x v="4"/>
  </r>
  <r>
    <s v="S1036"/>
    <x v="35"/>
    <s v="P102"/>
    <n v="1"/>
    <n v="0"/>
    <x v="1"/>
    <s v="Confirmed Giveaway"/>
    <n v="0"/>
    <x v="5"/>
  </r>
  <r>
    <s v="S1037"/>
    <x v="36"/>
    <s v="P108"/>
    <n v="3"/>
    <n v="18.989999999999998"/>
    <x v="1"/>
    <m/>
    <n v="56.97"/>
    <x v="3"/>
  </r>
  <r>
    <s v="S1038"/>
    <x v="37"/>
    <s v="P105"/>
    <n v="5"/>
    <n v="14.5"/>
    <x v="2"/>
    <m/>
    <n v="72.5"/>
    <x v="4"/>
  </r>
  <r>
    <s v="S1039"/>
    <x v="38"/>
    <s v="P102"/>
    <n v="2"/>
    <n v="59.99"/>
    <x v="3"/>
    <m/>
    <n v="119.98"/>
    <x v="5"/>
  </r>
  <r>
    <s v="S1040"/>
    <x v="39"/>
    <s v="P107"/>
    <n v="4"/>
    <n v="9.99"/>
    <x v="0"/>
    <m/>
    <n v="39.96"/>
    <x v="6"/>
  </r>
  <r>
    <s v="S1041"/>
    <x v="40"/>
    <s v="P104"/>
    <n v="1"/>
    <n v="5.99"/>
    <x v="1"/>
    <m/>
    <n v="5.99"/>
    <x v="7"/>
  </r>
  <r>
    <s v="S1042"/>
    <x v="41"/>
    <s v="P101"/>
    <n v="3"/>
    <n v="49.99"/>
    <x v="2"/>
    <m/>
    <n v="149.97"/>
    <x v="0"/>
  </r>
  <r>
    <s v="S1043"/>
    <x v="42"/>
    <s v="P106"/>
    <n v="5"/>
    <n v="39.99"/>
    <x v="3"/>
    <m/>
    <n v="199.95000000000002"/>
    <x v="1"/>
  </r>
  <r>
    <s v="S1044"/>
    <x v="43"/>
    <s v="P103"/>
    <n v="2"/>
    <n v="25"/>
    <x v="0"/>
    <m/>
    <n v="50"/>
    <x v="2"/>
  </r>
  <r>
    <s v="S1045"/>
    <x v="44"/>
    <s v="P108"/>
    <n v="4"/>
    <n v="18.989999999999998"/>
    <x v="1"/>
    <m/>
    <n v="75.959999999999994"/>
    <x v="3"/>
  </r>
  <r>
    <s v="S1046"/>
    <x v="45"/>
    <s v="P105"/>
    <n v="1"/>
    <n v="14.5"/>
    <x v="2"/>
    <m/>
    <n v="14.5"/>
    <x v="4"/>
  </r>
  <r>
    <s v="S1047"/>
    <x v="46"/>
    <s v="P102"/>
    <n v="3"/>
    <n v="59.99"/>
    <x v="3"/>
    <m/>
    <n v="179.97"/>
    <x v="5"/>
  </r>
  <r>
    <s v="S1048"/>
    <x v="47"/>
    <s v="P107"/>
    <n v="5"/>
    <n v="9.99"/>
    <x v="0"/>
    <m/>
    <n v="49.95"/>
    <x v="6"/>
  </r>
  <r>
    <s v="S1049"/>
    <x v="48"/>
    <s v="P105"/>
    <n v="2"/>
    <n v="14.5"/>
    <x v="0"/>
    <m/>
    <n v="29"/>
    <x v="4"/>
  </r>
  <r>
    <s v="S1050"/>
    <x v="49"/>
    <s v="P102"/>
    <n v="4"/>
    <n v="59.99"/>
    <x v="1"/>
    <m/>
    <n v="239.96"/>
    <x v="5"/>
  </r>
  <r>
    <s v="S1051"/>
    <x v="50"/>
    <s v="P107"/>
    <n v="1"/>
    <n v="9.99"/>
    <x v="2"/>
    <m/>
    <n v="9.99"/>
    <x v="6"/>
  </r>
  <r>
    <s v="S1052"/>
    <x v="51"/>
    <s v="P104"/>
    <n v="3"/>
    <n v="5.99"/>
    <x v="3"/>
    <m/>
    <n v="17.97"/>
    <x v="7"/>
  </r>
  <r>
    <s v="S1053"/>
    <x v="52"/>
    <s v="P101"/>
    <n v="5"/>
    <n v="49.99"/>
    <x v="0"/>
    <m/>
    <n v="249.95000000000002"/>
    <x v="0"/>
  </r>
  <r>
    <s v="S1054"/>
    <x v="53"/>
    <s v="P106"/>
    <n v="2"/>
    <n v="39.99"/>
    <x v="1"/>
    <m/>
    <n v="79.98"/>
    <x v="1"/>
  </r>
  <r>
    <s v="S1055"/>
    <x v="54"/>
    <s v="P103"/>
    <n v="4"/>
    <n v="25"/>
    <x v="2"/>
    <m/>
    <n v="100"/>
    <x v="2"/>
  </r>
  <r>
    <s v="S1056"/>
    <x v="55"/>
    <s v="P108"/>
    <n v="1"/>
    <n v="18.989999999999998"/>
    <x v="3"/>
    <m/>
    <n v="18.989999999999998"/>
    <x v="3"/>
  </r>
  <r>
    <s v="S1057"/>
    <x v="56"/>
    <s v="P105"/>
    <n v="3"/>
    <n v="14.5"/>
    <x v="0"/>
    <m/>
    <n v="43.5"/>
    <x v="4"/>
  </r>
  <r>
    <s v="S1058"/>
    <x v="57"/>
    <s v="P102"/>
    <n v="5"/>
    <n v="59.99"/>
    <x v="1"/>
    <m/>
    <n v="299.95"/>
    <x v="5"/>
  </r>
  <r>
    <s v="S1059"/>
    <x v="58"/>
    <s v="P107"/>
    <n v="-2"/>
    <n v="9.99"/>
    <x v="2"/>
    <s v="Confirmed Return"/>
    <n v="-19.98"/>
    <x v="6"/>
  </r>
  <r>
    <s v="S1060"/>
    <x v="59"/>
    <s v="P104"/>
    <n v="4"/>
    <n v="5.99"/>
    <x v="3"/>
    <m/>
    <n v="23.96"/>
    <x v="7"/>
  </r>
  <r>
    <s v="S1061"/>
    <x v="60"/>
    <s v="P102"/>
    <n v="1"/>
    <n v="59.99"/>
    <x v="3"/>
    <m/>
    <n v="59.99"/>
    <x v="5"/>
  </r>
  <r>
    <s v="S1062"/>
    <x v="61"/>
    <s v="P107"/>
    <n v="3"/>
    <n v="9.99"/>
    <x v="0"/>
    <m/>
    <n v="29.97"/>
    <x v="6"/>
  </r>
  <r>
    <s v="S1063"/>
    <x v="62"/>
    <s v="P104"/>
    <n v="5"/>
    <n v="5.99"/>
    <x v="1"/>
    <m/>
    <n v="29.950000000000003"/>
    <x v="7"/>
  </r>
  <r>
    <s v="S1064"/>
    <x v="63"/>
    <s v="P101"/>
    <n v="2"/>
    <n v="49.99"/>
    <x v="2"/>
    <m/>
    <n v="99.98"/>
    <x v="0"/>
  </r>
  <r>
    <s v="S1065"/>
    <x v="64"/>
    <s v="P106"/>
    <n v="4"/>
    <n v="39.99"/>
    <x v="3"/>
    <m/>
    <n v="159.96"/>
    <x v="1"/>
  </r>
  <r>
    <s v="S1066"/>
    <x v="65"/>
    <s v="P103"/>
    <n v="1"/>
    <n v="25"/>
    <x v="0"/>
    <m/>
    <n v="25"/>
    <x v="2"/>
  </r>
  <r>
    <s v="S1067"/>
    <x v="66"/>
    <s v="P108"/>
    <n v="3"/>
    <n v="18.989999999999998"/>
    <x v="1"/>
    <s v="duplicate saleid - pending verification "/>
    <n v="56.97"/>
    <x v="3"/>
  </r>
  <r>
    <s v="S1067"/>
    <x v="67"/>
    <s v="P105"/>
    <n v="5"/>
    <n v="14.5"/>
    <x v="2"/>
    <s v="duplicate saleid - pending verification "/>
    <n v="72.5"/>
    <x v="4"/>
  </r>
  <r>
    <s v="S1069"/>
    <x v="68"/>
    <s v="P102"/>
    <n v="2"/>
    <n v="59.99"/>
    <x v="3"/>
    <m/>
    <n v="119.98"/>
    <x v="5"/>
  </r>
  <r>
    <s v="S1070"/>
    <x v="69"/>
    <s v="P107"/>
    <n v="4"/>
    <n v="9.99"/>
    <x v="0"/>
    <m/>
    <n v="39.96"/>
    <x v="6"/>
  </r>
  <r>
    <s v="S1071"/>
    <x v="70"/>
    <s v="P104"/>
    <n v="1"/>
    <n v="5.99"/>
    <x v="1"/>
    <m/>
    <n v="5.99"/>
    <x v="7"/>
  </r>
  <r>
    <s v="S1072"/>
    <x v="71"/>
    <s v="P101"/>
    <n v="3"/>
    <n v="49.99"/>
    <x v="2"/>
    <m/>
    <n v="149.97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C2829A-FD45-104E-A06F-209401067C21}" name="PivotTable1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31" firstHeaderRow="1" firstDataRow="1" firstDataCol="1"/>
  <pivotFields count="12">
    <pivotField showAll="0"/>
    <pivotField showAll="0">
      <items count="73">
        <item x="0"/>
        <item x="11"/>
        <item x="4"/>
        <item x="8"/>
        <item x="1"/>
        <item x="5"/>
        <item x="9"/>
        <item x="2"/>
        <item x="6"/>
        <item x="10"/>
        <item x="3"/>
        <item x="7"/>
        <item x="18"/>
        <item x="22"/>
        <item x="15"/>
        <item x="19"/>
        <item x="12"/>
        <item x="23"/>
        <item x="16"/>
        <item x="20"/>
        <item x="13"/>
        <item x="17"/>
        <item x="21"/>
        <item x="14"/>
        <item x="25"/>
        <item x="29"/>
        <item x="33"/>
        <item x="26"/>
        <item x="30"/>
        <item x="34"/>
        <item x="27"/>
        <item x="31"/>
        <item x="24"/>
        <item x="35"/>
        <item x="28"/>
        <item x="32"/>
        <item x="43"/>
        <item x="36"/>
        <item x="47"/>
        <item x="40"/>
        <item x="44"/>
        <item x="37"/>
        <item x="41"/>
        <item x="45"/>
        <item x="38"/>
        <item x="42"/>
        <item x="46"/>
        <item x="39"/>
        <item x="50"/>
        <item x="54"/>
        <item x="58"/>
        <item x="51"/>
        <item x="55"/>
        <item x="48"/>
        <item x="59"/>
        <item x="52"/>
        <item x="56"/>
        <item x="49"/>
        <item x="53"/>
        <item x="57"/>
        <item x="68"/>
        <item x="61"/>
        <item x="65"/>
        <item x="69"/>
        <item x="62"/>
        <item x="66"/>
        <item x="70"/>
        <item x="63"/>
        <item x="67"/>
        <item x="60"/>
        <item x="71"/>
        <item x="64"/>
        <item t="default"/>
      </items>
    </pivotField>
    <pivotField showAll="0"/>
    <pivotField showAll="0"/>
    <pivotField showAll="0"/>
    <pivotField multipleItemSelectionAllowed="1" showAll="0">
      <items count="5">
        <item h="1" x="0"/>
        <item h="1" x="3"/>
        <item h="1" x="2"/>
        <item x="1"/>
        <item t="default"/>
      </items>
    </pivotField>
    <pivotField showAll="0"/>
    <pivotField dataField="1" showAll="0"/>
    <pivotField showAll="0">
      <items count="9">
        <item x="5"/>
        <item h="1" x="0"/>
        <item h="1" x="2"/>
        <item h="1" x="3"/>
        <item h="1" x="1"/>
        <item h="1" x="7"/>
        <item h="1" x="6"/>
        <item h="1" x="4"/>
        <item t="default"/>
      </items>
    </pivotField>
    <pivotField dragToRow="0" dragToCol="0" dragToPage="0" showAll="0" defaultSubtotal="0"/>
    <pivotField dragToRow="0" dragToCol="0" dragToPage="0" showAll="0" defaultSubtotal="0"/>
    <pivotField axis="axisRow" showAll="0" sortType="ascending">
      <items count="29">
        <item x="0"/>
        <item x="27"/>
        <item x="3"/>
        <item x="1"/>
        <item x="4"/>
        <item x="5"/>
        <item x="2"/>
        <item x="7"/>
        <item x="8"/>
        <item x="9"/>
        <item x="6"/>
        <item x="11"/>
        <item x="12"/>
        <item x="13"/>
        <item x="10"/>
        <item x="16"/>
        <item x="14"/>
        <item x="17"/>
        <item x="18"/>
        <item x="15"/>
        <item x="20"/>
        <item x="21"/>
        <item x="22"/>
        <item x="19"/>
        <item x="24"/>
        <item x="25"/>
        <item x="26"/>
        <item x="23"/>
        <item t="default"/>
      </items>
    </pivotField>
  </pivotFields>
  <rowFields count="1">
    <field x="11"/>
  </rowFields>
  <rowItems count="26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dataFields count="1">
    <dataField name="Sum of Revenu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9A997A-9CCF-634D-AEB3-42E816506E53}" name="Table1" displayName="Table1" ref="A1:I74" totalsRowShown="0" headerRowDxfId="5">
  <autoFilter ref="A1:I74" xr:uid="{629A997A-9CCF-634D-AEB3-42E816506E53}"/>
  <tableColumns count="9">
    <tableColumn id="1" xr3:uid="{0A03B444-D113-D34A-AD2F-483C979658C7}" name="SaleID"/>
    <tableColumn id="2" xr3:uid="{824C46BE-CB1B-FD40-B941-2F04E14F15DB}" name="SaleDate" dataDxfId="4"/>
    <tableColumn id="3" xr3:uid="{68363D92-1A35-1A45-AEB4-721F4B45E581}" name="ProductID"/>
    <tableColumn id="4" xr3:uid="{71D9E7AD-3F7B-594A-978B-8589FAB93977}" name="Quantity"/>
    <tableColumn id="5" xr3:uid="{B5395B4D-3378-7443-B911-2D502E3EEB3D}" name="UnitPrice" dataDxfId="3"/>
    <tableColumn id="6" xr3:uid="{D061A77D-85A6-7F4B-AC19-DCA8A7658F9A}" name="RegionID"/>
    <tableColumn id="7" xr3:uid="{3396C74E-ACB8-D445-8AD0-A36F920D45EB}" name="dataqaulity_status"/>
    <tableColumn id="8" xr3:uid="{F4BDC8B2-A1C9-A24E-B1DE-1262781EE8EB}" name="Revenue" dataDxfId="2" dataCellStyle="Currency"/>
    <tableColumn id="9" xr3:uid="{6069BCFD-064C-F747-BEAC-194B8F7D445B}" name="productname" dataDxfId="1">
      <calculatedColumnFormula>_xlfn.XLOOKUP(C2,Products!$A$2:$A$9,Products!$B$2:$B$9,"Not Found")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B8C2DC5-4438-C047-8903-2CA15B5B7D55}" name="Table3" displayName="Table3" ref="A3:I12" totalsRowShown="0">
  <autoFilter ref="A3:I12" xr:uid="{AB8C2DC5-4438-C047-8903-2CA15B5B7D55}"/>
  <tableColumns count="9">
    <tableColumn id="1" xr3:uid="{3070E67F-78CF-FE47-9F2A-8DD757B41A9B}" name="SaleID"/>
    <tableColumn id="2" xr3:uid="{762F9B09-7F7F-2442-9BF6-B53B9D38AFDD}" name="SaleDate" dataDxfId="0"/>
    <tableColumn id="3" xr3:uid="{9D8912DB-653F-AC49-8628-B67DC08F0716}" name="ProductID"/>
    <tableColumn id="4" xr3:uid="{5E7CF7F6-649E-4B47-A5D1-54F8C1218959}" name="Quantity"/>
    <tableColumn id="5" xr3:uid="{E9079136-669E-554E-9ED4-8428BCBDA99A}" name="UnitPrice"/>
    <tableColumn id="6" xr3:uid="{C95576A4-3E54-EB40-B8A1-66E9C8B87653}" name="RegionID"/>
    <tableColumn id="7" xr3:uid="{3AE070E2-8784-6A47-938A-63D835D17CD6}" name="dataqaulity_status"/>
    <tableColumn id="8" xr3:uid="{8BDCDD0F-ED37-F544-BB8B-89C5C7C30291}" name="Revenue"/>
    <tableColumn id="9" xr3:uid="{844EC4E2-9F92-DA47-AD2E-6B8A4318FC63}" name="product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43785-60E2-F948-9DB9-B83F29FF698F}">
  <dimension ref="A1:I93"/>
  <sheetViews>
    <sheetView tabSelected="1" zoomScale="75" workbookViewId="0">
      <pane ySplit="1" topLeftCell="A2" activePane="bottomLeft" state="frozen"/>
      <selection pane="bottomLeft" activeCell="E55" sqref="E55"/>
    </sheetView>
  </sheetViews>
  <sheetFormatPr baseColWidth="10" defaultColWidth="8.83203125" defaultRowHeight="14"/>
  <cols>
    <col min="1" max="1" width="9.5" bestFit="1" customWidth="1"/>
    <col min="2" max="2" width="11.5" bestFit="1" customWidth="1"/>
    <col min="3" max="3" width="17" customWidth="1"/>
    <col min="4" max="4" width="15" customWidth="1"/>
    <col min="5" max="5" width="17" customWidth="1"/>
    <col min="6" max="6" width="16" customWidth="1"/>
    <col min="7" max="7" width="31.33203125" bestFit="1" customWidth="1"/>
    <col min="8" max="8" width="12" style="6" customWidth="1"/>
    <col min="12" max="12" width="8.83203125" customWidth="1"/>
  </cols>
  <sheetData>
    <row r="1" spans="1:9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111</v>
      </c>
      <c r="H1" s="5" t="s">
        <v>116</v>
      </c>
      <c r="I1" s="9" t="s">
        <v>120</v>
      </c>
    </row>
    <row r="2" spans="1:9">
      <c r="A2" t="s">
        <v>6</v>
      </c>
      <c r="B2" s="2">
        <v>46114</v>
      </c>
      <c r="C2" t="s">
        <v>7</v>
      </c>
      <c r="D2">
        <v>1</v>
      </c>
      <c r="E2" s="3">
        <v>49.99</v>
      </c>
      <c r="F2" t="s">
        <v>8</v>
      </c>
      <c r="H2" s="6">
        <f>IF(D2="","",D2*E2)</f>
        <v>49.99</v>
      </c>
      <c r="I2" t="str">
        <f>_xlfn.XLOOKUP(C2,Products!$A$2:$A$9,Products!$B$2:$B$9,"Not Found")</f>
        <v>Coffee Maker</v>
      </c>
    </row>
    <row r="3" spans="1:9">
      <c r="A3" t="s">
        <v>9</v>
      </c>
      <c r="B3" s="2">
        <v>46121</v>
      </c>
      <c r="C3" t="s">
        <v>10</v>
      </c>
      <c r="D3">
        <v>3</v>
      </c>
      <c r="E3" s="3">
        <v>39.99</v>
      </c>
      <c r="F3" t="s">
        <v>11</v>
      </c>
      <c r="H3" s="6">
        <f>IF(D3="","",D3*E3)</f>
        <v>119.97</v>
      </c>
      <c r="I3" t="str">
        <f>_xlfn.XLOOKUP(C3,Products!$A$2:$A$9,Products!$B$2:$B$9,"Not Found")</f>
        <v>Headphones</v>
      </c>
    </row>
    <row r="4" spans="1:9">
      <c r="A4" t="s">
        <v>12</v>
      </c>
      <c r="B4" s="2">
        <v>46128</v>
      </c>
      <c r="C4" t="s">
        <v>13</v>
      </c>
      <c r="D4">
        <v>5</v>
      </c>
      <c r="E4" s="3">
        <v>25</v>
      </c>
      <c r="F4" t="s">
        <v>14</v>
      </c>
      <c r="H4" s="6">
        <f>IF(D4="","",D4*E4)</f>
        <v>125</v>
      </c>
      <c r="I4" t="str">
        <f>_xlfn.XLOOKUP(C4,Products!$A$2:$A$9,Products!$B$2:$B$9,"Not Found")</f>
        <v>Desk Lamp</v>
      </c>
    </row>
    <row r="5" spans="1:9">
      <c r="A5" t="s">
        <v>15</v>
      </c>
      <c r="B5" s="2">
        <v>46135</v>
      </c>
      <c r="C5" t="s">
        <v>16</v>
      </c>
      <c r="D5">
        <v>2</v>
      </c>
      <c r="E5" s="3">
        <v>18.989999999999998</v>
      </c>
      <c r="F5" t="s">
        <v>17</v>
      </c>
      <c r="H5" s="6">
        <f t="shared" ref="H5:H66" si="0">IF(D5="","",D5*E5)</f>
        <v>37.979999999999997</v>
      </c>
      <c r="I5" t="str">
        <f>_xlfn.XLOOKUP(C5,Products!$A$2:$A$9,Products!$B$2:$B$9,"Not Found")</f>
        <v>Desk Organizer</v>
      </c>
    </row>
    <row r="6" spans="1:9">
      <c r="A6" t="s">
        <v>18</v>
      </c>
      <c r="B6" s="2">
        <v>46117</v>
      </c>
      <c r="C6" t="s">
        <v>19</v>
      </c>
      <c r="D6">
        <v>4</v>
      </c>
      <c r="E6" s="3">
        <v>14.5</v>
      </c>
      <c r="F6" t="s">
        <v>8</v>
      </c>
      <c r="H6" s="6">
        <f t="shared" si="0"/>
        <v>58</v>
      </c>
      <c r="I6" t="str">
        <f>_xlfn.XLOOKUP(C6,Products!$A$2:$A$9,Products!$B$2:$B$9,"Not Found")</f>
        <v>Water Bottle</v>
      </c>
    </row>
    <row r="7" spans="1:9">
      <c r="A7" t="s">
        <v>20</v>
      </c>
      <c r="B7" s="2">
        <v>46124</v>
      </c>
      <c r="C7" t="s">
        <v>21</v>
      </c>
      <c r="D7">
        <v>1</v>
      </c>
      <c r="E7" s="3">
        <v>59.99</v>
      </c>
      <c r="F7" t="s">
        <v>11</v>
      </c>
      <c r="H7" s="6">
        <f t="shared" si="0"/>
        <v>59.99</v>
      </c>
      <c r="I7" t="str">
        <f>_xlfn.XLOOKUP(C7,Products!$A$2:$A$9,Products!$B$2:$B$9,"Not Found")</f>
        <v>Blender</v>
      </c>
    </row>
    <row r="8" spans="1:9">
      <c r="A8" t="s">
        <v>22</v>
      </c>
      <c r="B8" s="2">
        <v>46131</v>
      </c>
      <c r="C8" t="s">
        <v>23</v>
      </c>
      <c r="D8">
        <v>3</v>
      </c>
      <c r="E8" s="3">
        <v>9.99</v>
      </c>
      <c r="F8" t="s">
        <v>14</v>
      </c>
      <c r="H8" s="6">
        <f t="shared" si="0"/>
        <v>29.97</v>
      </c>
      <c r="I8" t="str">
        <f>_xlfn.XLOOKUP(C8,Products!$A$2:$A$9,Products!$B$2:$B$9,"Not Found")</f>
        <v>USB Cable</v>
      </c>
    </row>
    <row r="9" spans="1:9">
      <c r="A9" t="s">
        <v>24</v>
      </c>
      <c r="B9" s="2">
        <v>46138</v>
      </c>
      <c r="C9" t="s">
        <v>25</v>
      </c>
      <c r="D9">
        <v>5</v>
      </c>
      <c r="E9" s="3">
        <v>5.99</v>
      </c>
      <c r="F9" t="s">
        <v>17</v>
      </c>
      <c r="H9" s="6">
        <f t="shared" si="0"/>
        <v>29.950000000000003</v>
      </c>
      <c r="I9" t="str">
        <f>_xlfn.XLOOKUP(C9,Products!$A$2:$A$9,Products!$B$2:$B$9,"Not Found")</f>
        <v>Notebook</v>
      </c>
    </row>
    <row r="10" spans="1:9">
      <c r="A10" t="s">
        <v>26</v>
      </c>
      <c r="B10" s="2">
        <v>46120</v>
      </c>
      <c r="C10" t="s">
        <v>7</v>
      </c>
      <c r="D10">
        <v>2</v>
      </c>
      <c r="E10" s="3">
        <v>49.99</v>
      </c>
      <c r="F10" t="s">
        <v>8</v>
      </c>
      <c r="H10" s="6">
        <f t="shared" si="0"/>
        <v>99.98</v>
      </c>
      <c r="I10" t="str">
        <f>_xlfn.XLOOKUP(C10,Products!$A$2:$A$9,Products!$B$2:$B$9,"Not Found")</f>
        <v>Coffee Maker</v>
      </c>
    </row>
    <row r="11" spans="1:9">
      <c r="A11" t="s">
        <v>27</v>
      </c>
      <c r="B11" s="2">
        <v>46127</v>
      </c>
      <c r="C11" t="s">
        <v>10</v>
      </c>
      <c r="D11">
        <v>4</v>
      </c>
      <c r="E11" s="3">
        <v>39.99</v>
      </c>
      <c r="F11" t="s">
        <v>11</v>
      </c>
      <c r="H11" s="6">
        <f t="shared" si="0"/>
        <v>159.96</v>
      </c>
      <c r="I11" t="str">
        <f>_xlfn.XLOOKUP(C11,Products!$A$2:$A$9,Products!$B$2:$B$9,"Not Found")</f>
        <v>Headphones</v>
      </c>
    </row>
    <row r="12" spans="1:9">
      <c r="A12" t="s">
        <v>28</v>
      </c>
      <c r="B12" s="2">
        <v>46134</v>
      </c>
      <c r="C12" t="s">
        <v>13</v>
      </c>
      <c r="D12">
        <v>1</v>
      </c>
      <c r="E12" s="3">
        <v>25</v>
      </c>
      <c r="F12" t="s">
        <v>14</v>
      </c>
      <c r="H12" s="6">
        <f t="shared" si="0"/>
        <v>25</v>
      </c>
      <c r="I12" t="str">
        <f>_xlfn.XLOOKUP(C12,Products!$A$2:$A$9,Products!$B$2:$B$9,"Not Found")</f>
        <v>Desk Lamp</v>
      </c>
    </row>
    <row r="13" spans="1:9">
      <c r="A13" t="s">
        <v>29</v>
      </c>
      <c r="B13" s="2">
        <v>46116</v>
      </c>
      <c r="C13" t="s">
        <v>16</v>
      </c>
      <c r="D13">
        <v>3</v>
      </c>
      <c r="E13" s="3">
        <v>18.989999999999998</v>
      </c>
      <c r="F13" t="s">
        <v>17</v>
      </c>
      <c r="H13" s="6">
        <f t="shared" si="0"/>
        <v>56.97</v>
      </c>
      <c r="I13" t="str">
        <f>_xlfn.XLOOKUP(C13,Products!$A$2:$A$9,Products!$B$2:$B$9,"Not Found")</f>
        <v>Desk Organizer</v>
      </c>
    </row>
    <row r="14" spans="1:9">
      <c r="A14" t="s">
        <v>30</v>
      </c>
      <c r="B14" s="2">
        <v>46153</v>
      </c>
      <c r="C14" t="s">
        <v>13</v>
      </c>
      <c r="D14">
        <v>5</v>
      </c>
      <c r="E14" s="3">
        <v>39.99</v>
      </c>
      <c r="F14" t="s">
        <v>17</v>
      </c>
      <c r="H14" s="6">
        <f t="shared" si="0"/>
        <v>199.95000000000002</v>
      </c>
      <c r="I14" t="str">
        <f>_xlfn.XLOOKUP(C14,Products!$A$2:$A$9,Products!$B$2:$B$9,"Not Found")</f>
        <v>Desk Lamp</v>
      </c>
    </row>
    <row r="15" spans="1:9">
      <c r="A15" t="s">
        <v>31</v>
      </c>
      <c r="B15" s="2">
        <v>46160</v>
      </c>
      <c r="C15" t="s">
        <v>13</v>
      </c>
      <c r="D15">
        <v>2</v>
      </c>
      <c r="E15" s="3">
        <v>25</v>
      </c>
      <c r="F15" t="s">
        <v>8</v>
      </c>
      <c r="H15" s="6">
        <f t="shared" si="0"/>
        <v>50</v>
      </c>
      <c r="I15" t="str">
        <f>_xlfn.XLOOKUP(C15,Products!$A$2:$A$9,Products!$B$2:$B$9,"Not Found")</f>
        <v>Desk Lamp</v>
      </c>
    </row>
    <row r="16" spans="1:9">
      <c r="A16" t="s">
        <v>32</v>
      </c>
      <c r="B16" s="2">
        <v>46167</v>
      </c>
      <c r="C16" t="s">
        <v>16</v>
      </c>
      <c r="D16">
        <v>4</v>
      </c>
      <c r="E16" s="3">
        <v>18.989999999999998</v>
      </c>
      <c r="F16" t="s">
        <v>11</v>
      </c>
      <c r="H16" s="6">
        <f t="shared" si="0"/>
        <v>75.959999999999994</v>
      </c>
      <c r="I16" t="str">
        <f>_xlfn.XLOOKUP(C16,Products!$A$2:$A$9,Products!$B$2:$B$9,"Not Found")</f>
        <v>Desk Organizer</v>
      </c>
    </row>
    <row r="17" spans="1:9">
      <c r="A17" t="s">
        <v>33</v>
      </c>
      <c r="B17" s="2">
        <v>46149</v>
      </c>
      <c r="C17" t="s">
        <v>19</v>
      </c>
      <c r="D17">
        <v>1</v>
      </c>
      <c r="E17" s="3">
        <v>14.5</v>
      </c>
      <c r="F17" t="s">
        <v>14</v>
      </c>
      <c r="H17" s="6">
        <f t="shared" si="0"/>
        <v>14.5</v>
      </c>
      <c r="I17" t="str">
        <f>_xlfn.XLOOKUP(C17,Products!$A$2:$A$9,Products!$B$2:$B$9,"Not Found")</f>
        <v>Water Bottle</v>
      </c>
    </row>
    <row r="18" spans="1:9">
      <c r="A18" t="s">
        <v>34</v>
      </c>
      <c r="B18" s="2">
        <v>46156</v>
      </c>
      <c r="C18" t="s">
        <v>21</v>
      </c>
      <c r="D18">
        <v>3</v>
      </c>
      <c r="E18" s="3">
        <v>59.99</v>
      </c>
      <c r="F18" t="s">
        <v>17</v>
      </c>
      <c r="H18" s="6">
        <f t="shared" si="0"/>
        <v>179.97</v>
      </c>
      <c r="I18" t="str">
        <f>_xlfn.XLOOKUP(C18,Products!$A$2:$A$9,Products!$B$2:$B$9,"Not Found")</f>
        <v>Blender</v>
      </c>
    </row>
    <row r="19" spans="1:9">
      <c r="A19" t="s">
        <v>35</v>
      </c>
      <c r="B19" s="2">
        <v>46163</v>
      </c>
      <c r="C19" t="s">
        <v>23</v>
      </c>
      <c r="D19">
        <v>5</v>
      </c>
      <c r="E19" s="3">
        <v>9.99</v>
      </c>
      <c r="F19" t="s">
        <v>8</v>
      </c>
      <c r="H19" s="6">
        <f t="shared" si="0"/>
        <v>49.95</v>
      </c>
      <c r="I19" t="str">
        <f>_xlfn.XLOOKUP(C19,Products!$A$2:$A$9,Products!$B$2:$B$9,"Not Found")</f>
        <v>USB Cable</v>
      </c>
    </row>
    <row r="20" spans="1:9">
      <c r="A20" t="s">
        <v>36</v>
      </c>
      <c r="B20" s="2">
        <v>46145</v>
      </c>
      <c r="C20" t="s">
        <v>25</v>
      </c>
      <c r="D20">
        <v>2</v>
      </c>
      <c r="E20" s="3">
        <v>5.99</v>
      </c>
      <c r="F20" t="s">
        <v>11</v>
      </c>
      <c r="H20" s="6">
        <f t="shared" si="0"/>
        <v>11.98</v>
      </c>
      <c r="I20" t="str">
        <f>_xlfn.XLOOKUP(C20,Products!$A$2:$A$9,Products!$B$2:$B$9,"Not Found")</f>
        <v>Notebook</v>
      </c>
    </row>
    <row r="21" spans="1:9">
      <c r="A21" t="s">
        <v>37</v>
      </c>
      <c r="B21" s="2">
        <v>46152</v>
      </c>
      <c r="C21" t="s">
        <v>7</v>
      </c>
      <c r="D21">
        <v>4</v>
      </c>
      <c r="E21" s="3">
        <v>49.99</v>
      </c>
      <c r="F21" t="s">
        <v>14</v>
      </c>
      <c r="H21" s="6">
        <f t="shared" si="0"/>
        <v>199.96</v>
      </c>
      <c r="I21" t="str">
        <f>_xlfn.XLOOKUP(C21,Products!$A$2:$A$9,Products!$B$2:$B$9,"Not Found")</f>
        <v>Coffee Maker</v>
      </c>
    </row>
    <row r="22" spans="1:9">
      <c r="A22" t="s">
        <v>38</v>
      </c>
      <c r="B22" s="2">
        <v>46159</v>
      </c>
      <c r="C22" t="s">
        <v>10</v>
      </c>
      <c r="D22">
        <v>1</v>
      </c>
      <c r="E22" s="3">
        <v>39.99</v>
      </c>
      <c r="F22" t="s">
        <v>17</v>
      </c>
      <c r="H22" s="6">
        <f t="shared" si="0"/>
        <v>39.99</v>
      </c>
      <c r="I22" t="str">
        <f>_xlfn.XLOOKUP(C22,Products!$A$2:$A$9,Products!$B$2:$B$9,"Not Found")</f>
        <v>Headphones</v>
      </c>
    </row>
    <row r="23" spans="1:9">
      <c r="A23" t="s">
        <v>39</v>
      </c>
      <c r="B23" s="2">
        <v>46166</v>
      </c>
      <c r="C23" t="s">
        <v>13</v>
      </c>
      <c r="D23">
        <v>3</v>
      </c>
      <c r="E23" s="3">
        <v>25</v>
      </c>
      <c r="F23" t="s">
        <v>8</v>
      </c>
      <c r="H23" s="6">
        <f t="shared" si="0"/>
        <v>75</v>
      </c>
      <c r="I23" t="str">
        <f>_xlfn.XLOOKUP(C23,Products!$A$2:$A$9,Products!$B$2:$B$9,"Not Found")</f>
        <v>Desk Lamp</v>
      </c>
    </row>
    <row r="24" spans="1:9">
      <c r="A24" t="s">
        <v>40</v>
      </c>
      <c r="B24" s="2">
        <v>46148</v>
      </c>
      <c r="C24" t="s">
        <v>16</v>
      </c>
      <c r="D24">
        <v>5</v>
      </c>
      <c r="E24" s="3">
        <v>18.989999999999998</v>
      </c>
      <c r="F24" t="s">
        <v>11</v>
      </c>
      <c r="H24" s="6">
        <f t="shared" si="0"/>
        <v>94.949999999999989</v>
      </c>
      <c r="I24" t="str">
        <f>_xlfn.XLOOKUP(C24,Products!$A$2:$A$9,Products!$B$2:$B$9,"Not Found")</f>
        <v>Desk Organizer</v>
      </c>
    </row>
    <row r="25" spans="1:9">
      <c r="A25" t="s">
        <v>41</v>
      </c>
      <c r="B25" s="2">
        <v>46155</v>
      </c>
      <c r="C25" t="s">
        <v>19</v>
      </c>
      <c r="E25" s="3">
        <v>14.5</v>
      </c>
      <c r="F25" t="s">
        <v>14</v>
      </c>
      <c r="G25" t="s">
        <v>112</v>
      </c>
      <c r="H25" s="6" t="str">
        <f t="shared" si="0"/>
        <v/>
      </c>
      <c r="I25" t="str">
        <f>_xlfn.XLOOKUP(C25,Products!$A$2:$A$9,Products!$B$2:$B$9,"Not Found")</f>
        <v>Water Bottle</v>
      </c>
    </row>
    <row r="26" spans="1:9">
      <c r="A26" t="s">
        <v>42</v>
      </c>
      <c r="B26" s="2">
        <v>46193</v>
      </c>
      <c r="C26" t="s">
        <v>13</v>
      </c>
      <c r="D26">
        <v>4</v>
      </c>
      <c r="E26" s="3">
        <v>25</v>
      </c>
      <c r="F26" t="s">
        <v>14</v>
      </c>
      <c r="H26" s="6">
        <f t="shared" si="0"/>
        <v>100</v>
      </c>
      <c r="I26" t="str">
        <f>_xlfn.XLOOKUP(C26,Products!$A$2:$A$9,Products!$B$2:$B$9,"Not Found")</f>
        <v>Desk Lamp</v>
      </c>
    </row>
    <row r="27" spans="1:9">
      <c r="A27" t="s">
        <v>43</v>
      </c>
      <c r="B27" s="2">
        <v>46175</v>
      </c>
      <c r="C27" t="s">
        <v>16</v>
      </c>
      <c r="D27">
        <v>1</v>
      </c>
      <c r="E27" s="3">
        <v>18.989999999999998</v>
      </c>
      <c r="F27" t="s">
        <v>17</v>
      </c>
      <c r="H27" s="6">
        <f t="shared" si="0"/>
        <v>18.989999999999998</v>
      </c>
      <c r="I27" t="str">
        <f>_xlfn.XLOOKUP(C27,Products!$A$2:$A$9,Products!$B$2:$B$9,"Not Found")</f>
        <v>Desk Organizer</v>
      </c>
    </row>
    <row r="28" spans="1:9">
      <c r="A28" t="s">
        <v>44</v>
      </c>
      <c r="B28" s="2">
        <v>46182</v>
      </c>
      <c r="C28" t="s">
        <v>19</v>
      </c>
      <c r="D28">
        <v>3</v>
      </c>
      <c r="E28" s="3">
        <v>14.5</v>
      </c>
      <c r="F28" t="s">
        <v>8</v>
      </c>
      <c r="H28" s="6">
        <f t="shared" si="0"/>
        <v>43.5</v>
      </c>
      <c r="I28" t="str">
        <f>_xlfn.XLOOKUP(C28,Products!$A$2:$A$9,Products!$B$2:$B$9,"Not Found")</f>
        <v>Water Bottle</v>
      </c>
    </row>
    <row r="29" spans="1:9">
      <c r="A29" t="s">
        <v>45</v>
      </c>
      <c r="B29" s="2">
        <v>46189</v>
      </c>
      <c r="C29" t="s">
        <v>21</v>
      </c>
      <c r="D29">
        <v>5</v>
      </c>
      <c r="E29" s="3">
        <v>59.99</v>
      </c>
      <c r="F29" t="s">
        <v>11</v>
      </c>
      <c r="H29" s="6">
        <f t="shared" si="0"/>
        <v>299.95</v>
      </c>
      <c r="I29" t="str">
        <f>_xlfn.XLOOKUP(C29,Products!$A$2:$A$9,Products!$B$2:$B$9,"Not Found")</f>
        <v>Blender</v>
      </c>
    </row>
    <row r="30" spans="1:9">
      <c r="A30" t="s">
        <v>46</v>
      </c>
      <c r="B30" s="2">
        <v>46196</v>
      </c>
      <c r="C30" t="s">
        <v>23</v>
      </c>
      <c r="D30">
        <v>2</v>
      </c>
      <c r="E30" s="3">
        <v>9.99</v>
      </c>
      <c r="F30" t="s">
        <v>14</v>
      </c>
      <c r="H30" s="6">
        <f t="shared" si="0"/>
        <v>19.98</v>
      </c>
      <c r="I30" t="str">
        <f>_xlfn.XLOOKUP(C30,Products!$A$2:$A$9,Products!$B$2:$B$9,"Not Found")</f>
        <v>USB Cable</v>
      </c>
    </row>
    <row r="31" spans="1:9">
      <c r="A31" t="s">
        <v>47</v>
      </c>
      <c r="B31" s="2">
        <v>46178</v>
      </c>
      <c r="C31" t="s">
        <v>25</v>
      </c>
      <c r="D31">
        <v>4</v>
      </c>
      <c r="E31" s="3">
        <v>5.99</v>
      </c>
      <c r="F31" t="s">
        <v>17</v>
      </c>
      <c r="H31" s="6">
        <f t="shared" si="0"/>
        <v>23.96</v>
      </c>
      <c r="I31" t="str">
        <f>_xlfn.XLOOKUP(C31,Products!$A$2:$A$9,Products!$B$2:$B$9,"Not Found")</f>
        <v>Notebook</v>
      </c>
    </row>
    <row r="32" spans="1:9">
      <c r="A32" t="s">
        <v>48</v>
      </c>
      <c r="B32" s="2">
        <v>46185</v>
      </c>
      <c r="C32" t="s">
        <v>7</v>
      </c>
      <c r="D32">
        <v>1</v>
      </c>
      <c r="E32" s="3">
        <v>49.99</v>
      </c>
      <c r="F32" t="s">
        <v>8</v>
      </c>
      <c r="H32" s="6">
        <f t="shared" si="0"/>
        <v>49.99</v>
      </c>
      <c r="I32" t="str">
        <f>_xlfn.XLOOKUP(C32,Products!$A$2:$A$9,Products!$B$2:$B$9,"Not Found")</f>
        <v>Coffee Maker</v>
      </c>
    </row>
    <row r="33" spans="1:9">
      <c r="A33" t="s">
        <v>49</v>
      </c>
      <c r="B33" s="2">
        <v>46192</v>
      </c>
      <c r="C33" t="s">
        <v>10</v>
      </c>
      <c r="D33">
        <v>3</v>
      </c>
      <c r="E33" s="3">
        <v>39.99</v>
      </c>
      <c r="F33" t="s">
        <v>11</v>
      </c>
      <c r="H33" s="6">
        <f t="shared" si="0"/>
        <v>119.97</v>
      </c>
      <c r="I33" t="str">
        <f>_xlfn.XLOOKUP(C33,Products!$A$2:$A$9,Products!$B$2:$B$9,"Not Found")</f>
        <v>Headphones</v>
      </c>
    </row>
    <row r="34" spans="1:9">
      <c r="A34" t="s">
        <v>50</v>
      </c>
      <c r="B34" s="2">
        <v>46199</v>
      </c>
      <c r="C34" t="s">
        <v>13</v>
      </c>
      <c r="D34">
        <v>5</v>
      </c>
      <c r="E34" s="3">
        <v>25</v>
      </c>
      <c r="F34" t="s">
        <v>14</v>
      </c>
      <c r="H34" s="6">
        <f t="shared" si="0"/>
        <v>125</v>
      </c>
      <c r="I34" t="str">
        <f>_xlfn.XLOOKUP(C34,Products!$A$2:$A$9,Products!$B$2:$B$9,"Not Found")</f>
        <v>Desk Lamp</v>
      </c>
    </row>
    <row r="35" spans="1:9">
      <c r="A35" t="s">
        <v>51</v>
      </c>
      <c r="B35" s="2">
        <v>46181</v>
      </c>
      <c r="C35" t="s">
        <v>16</v>
      </c>
      <c r="D35">
        <v>2</v>
      </c>
      <c r="E35" s="3">
        <v>18.989999999999998</v>
      </c>
      <c r="F35" t="s">
        <v>17</v>
      </c>
      <c r="H35" s="6">
        <f t="shared" si="0"/>
        <v>37.979999999999997</v>
      </c>
      <c r="I35" t="str">
        <f>_xlfn.XLOOKUP(C35,Products!$A$2:$A$9,Products!$B$2:$B$9,"Not Found")</f>
        <v>Desk Organizer</v>
      </c>
    </row>
    <row r="36" spans="1:9">
      <c r="A36" t="s">
        <v>52</v>
      </c>
      <c r="B36" s="2">
        <v>46188</v>
      </c>
      <c r="C36" t="s">
        <v>19</v>
      </c>
      <c r="D36">
        <v>4</v>
      </c>
      <c r="E36" s="3">
        <v>14.5</v>
      </c>
      <c r="F36" t="s">
        <v>8</v>
      </c>
      <c r="H36" s="6">
        <f t="shared" si="0"/>
        <v>58</v>
      </c>
      <c r="I36" t="str">
        <f>_xlfn.XLOOKUP(C36,Products!$A$2:$A$9,Products!$B$2:$B$9,"Not Found")</f>
        <v>Water Bottle</v>
      </c>
    </row>
    <row r="37" spans="1:9">
      <c r="A37" t="s">
        <v>53</v>
      </c>
      <c r="B37" s="2">
        <v>46195</v>
      </c>
      <c r="C37" t="s">
        <v>21</v>
      </c>
      <c r="D37">
        <v>1</v>
      </c>
      <c r="E37" s="3">
        <v>0</v>
      </c>
      <c r="F37" t="s">
        <v>11</v>
      </c>
      <c r="G37" t="s">
        <v>115</v>
      </c>
      <c r="H37" s="6">
        <f t="shared" si="0"/>
        <v>0</v>
      </c>
      <c r="I37" t="str">
        <f>_xlfn.XLOOKUP(C37,Products!$A$2:$A$9,Products!$B$2:$B$9,"Not Found")</f>
        <v>Blender</v>
      </c>
    </row>
    <row r="38" spans="1:9">
      <c r="A38" t="s">
        <v>54</v>
      </c>
      <c r="B38" s="2">
        <v>46207</v>
      </c>
      <c r="C38" t="s">
        <v>16</v>
      </c>
      <c r="D38">
        <v>3</v>
      </c>
      <c r="E38" s="3">
        <v>18.989999999999998</v>
      </c>
      <c r="F38" t="s">
        <v>11</v>
      </c>
      <c r="H38" s="6">
        <f t="shared" si="0"/>
        <v>56.97</v>
      </c>
      <c r="I38" t="str">
        <f>_xlfn.XLOOKUP(C38,Products!$A$2:$A$9,Products!$B$2:$B$9,"Not Found")</f>
        <v>Desk Organizer</v>
      </c>
    </row>
    <row r="39" spans="1:9">
      <c r="A39" t="s">
        <v>55</v>
      </c>
      <c r="B39" s="2">
        <v>46214</v>
      </c>
      <c r="C39" t="s">
        <v>19</v>
      </c>
      <c r="D39">
        <v>5</v>
      </c>
      <c r="E39" s="3">
        <v>14.5</v>
      </c>
      <c r="F39" t="s">
        <v>14</v>
      </c>
      <c r="H39" s="6">
        <f t="shared" si="0"/>
        <v>72.5</v>
      </c>
      <c r="I39" t="str">
        <f>_xlfn.XLOOKUP(C39,Products!$A$2:$A$9,Products!$B$2:$B$9,"Not Found")</f>
        <v>Water Bottle</v>
      </c>
    </row>
    <row r="40" spans="1:9">
      <c r="A40" t="s">
        <v>56</v>
      </c>
      <c r="B40" s="2">
        <v>46221</v>
      </c>
      <c r="C40" t="s">
        <v>21</v>
      </c>
      <c r="D40">
        <v>2</v>
      </c>
      <c r="E40" s="3">
        <v>59.99</v>
      </c>
      <c r="F40" t="s">
        <v>17</v>
      </c>
      <c r="H40" s="6">
        <f t="shared" si="0"/>
        <v>119.98</v>
      </c>
      <c r="I40" t="str">
        <f>_xlfn.XLOOKUP(C40,Products!$A$2:$A$9,Products!$B$2:$B$9,"Not Found")</f>
        <v>Blender</v>
      </c>
    </row>
    <row r="41" spans="1:9">
      <c r="A41" t="s">
        <v>57</v>
      </c>
      <c r="B41" s="2">
        <v>46228</v>
      </c>
      <c r="C41" t="s">
        <v>23</v>
      </c>
      <c r="D41">
        <v>4</v>
      </c>
      <c r="E41" s="3">
        <v>9.99</v>
      </c>
      <c r="F41" t="s">
        <v>8</v>
      </c>
      <c r="H41" s="6">
        <f t="shared" si="0"/>
        <v>39.96</v>
      </c>
      <c r="I41" t="str">
        <f>_xlfn.XLOOKUP(C41,Products!$A$2:$A$9,Products!$B$2:$B$9,"Not Found")</f>
        <v>USB Cable</v>
      </c>
    </row>
    <row r="42" spans="1:9">
      <c r="A42" t="s">
        <v>58</v>
      </c>
      <c r="B42" s="2">
        <v>46210</v>
      </c>
      <c r="C42" t="s">
        <v>25</v>
      </c>
      <c r="D42">
        <v>1</v>
      </c>
      <c r="E42" s="3">
        <v>5.99</v>
      </c>
      <c r="F42" t="s">
        <v>11</v>
      </c>
      <c r="H42" s="6">
        <f t="shared" si="0"/>
        <v>5.99</v>
      </c>
      <c r="I42" t="str">
        <f>_xlfn.XLOOKUP(C42,Products!$A$2:$A$9,Products!$B$2:$B$9,"Not Found")</f>
        <v>Notebook</v>
      </c>
    </row>
    <row r="43" spans="1:9">
      <c r="A43" t="s">
        <v>59</v>
      </c>
      <c r="B43" s="2">
        <v>46217</v>
      </c>
      <c r="C43" t="s">
        <v>7</v>
      </c>
      <c r="D43">
        <v>3</v>
      </c>
      <c r="E43" s="3">
        <v>49.99</v>
      </c>
      <c r="F43" t="s">
        <v>14</v>
      </c>
      <c r="H43" s="6">
        <f t="shared" si="0"/>
        <v>149.97</v>
      </c>
      <c r="I43" t="str">
        <f>_xlfn.XLOOKUP(C43,Products!$A$2:$A$9,Products!$B$2:$B$9,"Not Found")</f>
        <v>Coffee Maker</v>
      </c>
    </row>
    <row r="44" spans="1:9">
      <c r="A44" t="s">
        <v>60</v>
      </c>
      <c r="B44" s="2">
        <v>46224</v>
      </c>
      <c r="C44" t="s">
        <v>10</v>
      </c>
      <c r="D44">
        <v>5</v>
      </c>
      <c r="E44" s="3">
        <v>39.99</v>
      </c>
      <c r="F44" t="s">
        <v>17</v>
      </c>
      <c r="H44" s="6">
        <f t="shared" si="0"/>
        <v>199.95000000000002</v>
      </c>
      <c r="I44" t="str">
        <f>_xlfn.XLOOKUP(C44,Products!$A$2:$A$9,Products!$B$2:$B$9,"Not Found")</f>
        <v>Headphones</v>
      </c>
    </row>
    <row r="45" spans="1:9">
      <c r="A45" t="s">
        <v>61</v>
      </c>
      <c r="B45" s="2">
        <v>46206</v>
      </c>
      <c r="C45" t="s">
        <v>13</v>
      </c>
      <c r="D45">
        <v>2</v>
      </c>
      <c r="E45" s="3">
        <v>25</v>
      </c>
      <c r="F45" t="s">
        <v>8</v>
      </c>
      <c r="H45" s="6">
        <f t="shared" si="0"/>
        <v>50</v>
      </c>
      <c r="I45" t="str">
        <f>_xlfn.XLOOKUP(C45,Products!$A$2:$A$9,Products!$B$2:$B$9,"Not Found")</f>
        <v>Desk Lamp</v>
      </c>
    </row>
    <row r="46" spans="1:9">
      <c r="A46" t="s">
        <v>62</v>
      </c>
      <c r="B46" s="2">
        <v>46213</v>
      </c>
      <c r="C46" t="s">
        <v>16</v>
      </c>
      <c r="D46">
        <v>4</v>
      </c>
      <c r="E46" s="3">
        <v>18.989999999999998</v>
      </c>
      <c r="F46" t="s">
        <v>11</v>
      </c>
      <c r="H46" s="6">
        <f t="shared" si="0"/>
        <v>75.959999999999994</v>
      </c>
      <c r="I46" t="str">
        <f>_xlfn.XLOOKUP(C46,Products!$A$2:$A$9,Products!$B$2:$B$9,"Not Found")</f>
        <v>Desk Organizer</v>
      </c>
    </row>
    <row r="47" spans="1:9">
      <c r="A47" t="s">
        <v>63</v>
      </c>
      <c r="B47" s="2">
        <v>46220</v>
      </c>
      <c r="C47" t="s">
        <v>19</v>
      </c>
      <c r="D47">
        <v>1</v>
      </c>
      <c r="E47" s="3">
        <v>14.5</v>
      </c>
      <c r="F47" t="s">
        <v>14</v>
      </c>
      <c r="H47" s="6">
        <f t="shared" si="0"/>
        <v>14.5</v>
      </c>
      <c r="I47" t="str">
        <f>_xlfn.XLOOKUP(C47,Products!$A$2:$A$9,Products!$B$2:$B$9,"Not Found")</f>
        <v>Water Bottle</v>
      </c>
    </row>
    <row r="48" spans="1:9">
      <c r="A48" t="s">
        <v>64</v>
      </c>
      <c r="B48" s="2">
        <v>46227</v>
      </c>
      <c r="C48" t="s">
        <v>21</v>
      </c>
      <c r="D48">
        <v>3</v>
      </c>
      <c r="E48" s="3">
        <v>59.99</v>
      </c>
      <c r="F48" t="s">
        <v>17</v>
      </c>
      <c r="H48" s="6">
        <f t="shared" si="0"/>
        <v>179.97</v>
      </c>
      <c r="I48" t="str">
        <f>_xlfn.XLOOKUP(C48,Products!$A$2:$A$9,Products!$B$2:$B$9,"Not Found")</f>
        <v>Blender</v>
      </c>
    </row>
    <row r="49" spans="1:9">
      <c r="A49" t="s">
        <v>65</v>
      </c>
      <c r="B49" s="2">
        <v>46209</v>
      </c>
      <c r="C49" t="s">
        <v>23</v>
      </c>
      <c r="D49">
        <v>5</v>
      </c>
      <c r="E49" s="3">
        <v>9.99</v>
      </c>
      <c r="F49" t="s">
        <v>8</v>
      </c>
      <c r="H49" s="6">
        <f t="shared" si="0"/>
        <v>49.95</v>
      </c>
      <c r="I49" t="str">
        <f>_xlfn.XLOOKUP(C49,Products!$A$2:$A$9,Products!$B$2:$B$9,"Not Found")</f>
        <v>USB Cable</v>
      </c>
    </row>
    <row r="50" spans="1:9">
      <c r="A50" t="s">
        <v>66</v>
      </c>
      <c r="B50" s="2">
        <v>46247</v>
      </c>
      <c r="C50" t="s">
        <v>19</v>
      </c>
      <c r="D50">
        <v>2</v>
      </c>
      <c r="E50" s="3">
        <v>14.5</v>
      </c>
      <c r="F50" t="s">
        <v>8</v>
      </c>
      <c r="H50" s="6">
        <f t="shared" si="0"/>
        <v>29</v>
      </c>
      <c r="I50" t="str">
        <f>_xlfn.XLOOKUP(C50,Products!$A$2:$A$9,Products!$B$2:$B$9,"Not Found")</f>
        <v>Water Bottle</v>
      </c>
    </row>
    <row r="51" spans="1:9">
      <c r="A51" t="s">
        <v>67</v>
      </c>
      <c r="B51" s="2">
        <v>46254</v>
      </c>
      <c r="C51" t="s">
        <v>21</v>
      </c>
      <c r="D51">
        <v>4</v>
      </c>
      <c r="E51" s="3">
        <v>59.99</v>
      </c>
      <c r="F51" t="s">
        <v>11</v>
      </c>
      <c r="H51" s="6">
        <f t="shared" si="0"/>
        <v>239.96</v>
      </c>
      <c r="I51" t="str">
        <f>_xlfn.XLOOKUP(C51,Products!$A$2:$A$9,Products!$B$2:$B$9,"Not Found")</f>
        <v>Blender</v>
      </c>
    </row>
    <row r="52" spans="1:9">
      <c r="A52" t="s">
        <v>68</v>
      </c>
      <c r="B52" s="2">
        <v>46236</v>
      </c>
      <c r="C52" t="s">
        <v>23</v>
      </c>
      <c r="D52">
        <v>1</v>
      </c>
      <c r="E52" s="3">
        <v>9.99</v>
      </c>
      <c r="F52" t="s">
        <v>14</v>
      </c>
      <c r="H52" s="6">
        <f t="shared" si="0"/>
        <v>9.99</v>
      </c>
      <c r="I52" t="str">
        <f>_xlfn.XLOOKUP(C52,Products!$A$2:$A$9,Products!$B$2:$B$9,"Not Found")</f>
        <v>USB Cable</v>
      </c>
    </row>
    <row r="53" spans="1:9">
      <c r="A53" t="s">
        <v>69</v>
      </c>
      <c r="B53" s="2">
        <v>46243</v>
      </c>
      <c r="C53" t="s">
        <v>25</v>
      </c>
      <c r="D53">
        <v>3</v>
      </c>
      <c r="E53" s="3">
        <v>5.99</v>
      </c>
      <c r="F53" t="s">
        <v>17</v>
      </c>
      <c r="H53" s="6">
        <f t="shared" si="0"/>
        <v>17.97</v>
      </c>
      <c r="I53" t="str">
        <f>_xlfn.XLOOKUP(C53,Products!$A$2:$A$9,Products!$B$2:$B$9,"Not Found")</f>
        <v>Notebook</v>
      </c>
    </row>
    <row r="54" spans="1:9">
      <c r="A54" t="s">
        <v>70</v>
      </c>
      <c r="B54" s="2">
        <v>46250</v>
      </c>
      <c r="C54" t="s">
        <v>7</v>
      </c>
      <c r="D54">
        <v>5</v>
      </c>
      <c r="E54" s="3">
        <v>49.99</v>
      </c>
      <c r="F54" t="s">
        <v>8</v>
      </c>
      <c r="H54" s="6">
        <f t="shared" si="0"/>
        <v>249.95000000000002</v>
      </c>
      <c r="I54" t="str">
        <f>_xlfn.XLOOKUP(C54,Products!$A$2:$A$9,Products!$B$2:$B$9,"Not Found")</f>
        <v>Coffee Maker</v>
      </c>
    </row>
    <row r="55" spans="1:9">
      <c r="A55" t="s">
        <v>71</v>
      </c>
      <c r="B55" s="2">
        <v>46257</v>
      </c>
      <c r="C55" t="s">
        <v>10</v>
      </c>
      <c r="D55">
        <v>2</v>
      </c>
      <c r="E55" s="3">
        <v>39.99</v>
      </c>
      <c r="F55" t="s">
        <v>11</v>
      </c>
      <c r="H55" s="6">
        <f t="shared" si="0"/>
        <v>79.98</v>
      </c>
      <c r="I55" t="str">
        <f>_xlfn.XLOOKUP(C55,Products!$A$2:$A$9,Products!$B$2:$B$9,"Not Found")</f>
        <v>Headphones</v>
      </c>
    </row>
    <row r="56" spans="1:9">
      <c r="A56" t="s">
        <v>72</v>
      </c>
      <c r="B56" s="2">
        <v>46239</v>
      </c>
      <c r="C56" t="s">
        <v>13</v>
      </c>
      <c r="D56">
        <v>4</v>
      </c>
      <c r="E56" s="3">
        <v>25</v>
      </c>
      <c r="F56" t="s">
        <v>14</v>
      </c>
      <c r="H56" s="6">
        <f t="shared" si="0"/>
        <v>100</v>
      </c>
      <c r="I56" t="str">
        <f>_xlfn.XLOOKUP(C56,Products!$A$2:$A$9,Products!$B$2:$B$9,"Not Found")</f>
        <v>Desk Lamp</v>
      </c>
    </row>
    <row r="57" spans="1:9">
      <c r="A57" t="s">
        <v>73</v>
      </c>
      <c r="B57" s="2">
        <v>46246</v>
      </c>
      <c r="C57" t="s">
        <v>16</v>
      </c>
      <c r="D57">
        <v>1</v>
      </c>
      <c r="E57" s="3">
        <v>18.989999999999998</v>
      </c>
      <c r="F57" t="s">
        <v>17</v>
      </c>
      <c r="H57" s="6">
        <f t="shared" si="0"/>
        <v>18.989999999999998</v>
      </c>
      <c r="I57" t="str">
        <f>_xlfn.XLOOKUP(C57,Products!$A$2:$A$9,Products!$B$2:$B$9,"Not Found")</f>
        <v>Desk Organizer</v>
      </c>
    </row>
    <row r="58" spans="1:9">
      <c r="A58" t="s">
        <v>74</v>
      </c>
      <c r="B58" s="2">
        <v>46253</v>
      </c>
      <c r="C58" t="s">
        <v>19</v>
      </c>
      <c r="D58">
        <v>3</v>
      </c>
      <c r="E58" s="3">
        <v>14.5</v>
      </c>
      <c r="F58" t="s">
        <v>8</v>
      </c>
      <c r="H58" s="6">
        <f t="shared" si="0"/>
        <v>43.5</v>
      </c>
      <c r="I58" t="str">
        <f>_xlfn.XLOOKUP(C58,Products!$A$2:$A$9,Products!$B$2:$B$9,"Not Found")</f>
        <v>Water Bottle</v>
      </c>
    </row>
    <row r="59" spans="1:9">
      <c r="A59" t="s">
        <v>75</v>
      </c>
      <c r="B59" s="2">
        <v>46260</v>
      </c>
      <c r="C59" t="s">
        <v>21</v>
      </c>
      <c r="D59">
        <v>5</v>
      </c>
      <c r="E59" s="3">
        <v>59.99</v>
      </c>
      <c r="F59" t="s">
        <v>11</v>
      </c>
      <c r="H59" s="6">
        <f t="shared" si="0"/>
        <v>299.95</v>
      </c>
      <c r="I59" t="str">
        <f>_xlfn.XLOOKUP(C59,Products!$A$2:$A$9,Products!$B$2:$B$9,"Not Found")</f>
        <v>Blender</v>
      </c>
    </row>
    <row r="60" spans="1:9">
      <c r="A60" t="s">
        <v>76</v>
      </c>
      <c r="B60" s="2">
        <v>46242</v>
      </c>
      <c r="C60" t="s">
        <v>23</v>
      </c>
      <c r="D60">
        <v>-2</v>
      </c>
      <c r="E60" s="3">
        <v>9.99</v>
      </c>
      <c r="F60" t="s">
        <v>14</v>
      </c>
      <c r="G60" s="4" t="s">
        <v>114</v>
      </c>
      <c r="H60" s="6">
        <f t="shared" si="0"/>
        <v>-19.98</v>
      </c>
      <c r="I60" t="str">
        <f>_xlfn.XLOOKUP(C60,Products!$A$2:$A$9,Products!$B$2:$B$9,"Not Found")</f>
        <v>USB Cable</v>
      </c>
    </row>
    <row r="61" spans="1:9">
      <c r="A61" t="s">
        <v>77</v>
      </c>
      <c r="B61" s="2">
        <v>46249</v>
      </c>
      <c r="C61" t="s">
        <v>25</v>
      </c>
      <c r="D61">
        <v>4</v>
      </c>
      <c r="E61" s="3">
        <v>5.99</v>
      </c>
      <c r="F61" t="s">
        <v>17</v>
      </c>
      <c r="H61" s="6">
        <f t="shared" si="0"/>
        <v>23.96</v>
      </c>
      <c r="I61" t="str">
        <f>_xlfn.XLOOKUP(C61,Products!$A$2:$A$9,Products!$B$2:$B$9,"Not Found")</f>
        <v>Notebook</v>
      </c>
    </row>
    <row r="62" spans="1:9">
      <c r="A62" t="s">
        <v>78</v>
      </c>
      <c r="B62" s="2">
        <v>46287</v>
      </c>
      <c r="C62" t="s">
        <v>21</v>
      </c>
      <c r="D62">
        <v>1</v>
      </c>
      <c r="E62" s="3">
        <v>59.99</v>
      </c>
      <c r="F62" t="s">
        <v>17</v>
      </c>
      <c r="H62" s="6">
        <f t="shared" si="0"/>
        <v>59.99</v>
      </c>
      <c r="I62" t="str">
        <f>_xlfn.XLOOKUP(C62,Products!$A$2:$A$9,Products!$B$2:$B$9,"Not Found")</f>
        <v>Blender</v>
      </c>
    </row>
    <row r="63" spans="1:9">
      <c r="A63" t="s">
        <v>79</v>
      </c>
      <c r="B63" s="2">
        <v>46269</v>
      </c>
      <c r="C63" t="s">
        <v>23</v>
      </c>
      <c r="D63">
        <v>3</v>
      </c>
      <c r="E63" s="3">
        <v>9.99</v>
      </c>
      <c r="F63" t="s">
        <v>8</v>
      </c>
      <c r="H63" s="6">
        <f t="shared" si="0"/>
        <v>29.97</v>
      </c>
      <c r="I63" t="str">
        <f>_xlfn.XLOOKUP(C63,Products!$A$2:$A$9,Products!$B$2:$B$9,"Not Found")</f>
        <v>USB Cable</v>
      </c>
    </row>
    <row r="64" spans="1:9">
      <c r="A64" t="s">
        <v>80</v>
      </c>
      <c r="B64" s="2">
        <v>46276</v>
      </c>
      <c r="C64" t="s">
        <v>25</v>
      </c>
      <c r="D64">
        <v>5</v>
      </c>
      <c r="E64" s="3">
        <v>5.99</v>
      </c>
      <c r="F64" t="s">
        <v>11</v>
      </c>
      <c r="H64" s="6">
        <f t="shared" si="0"/>
        <v>29.950000000000003</v>
      </c>
      <c r="I64" t="str">
        <f>_xlfn.XLOOKUP(C64,Products!$A$2:$A$9,Products!$B$2:$B$9,"Not Found")</f>
        <v>Notebook</v>
      </c>
    </row>
    <row r="65" spans="1:9">
      <c r="A65" t="s">
        <v>81</v>
      </c>
      <c r="B65" s="2">
        <v>46283</v>
      </c>
      <c r="C65" t="s">
        <v>7</v>
      </c>
      <c r="D65">
        <v>2</v>
      </c>
      <c r="E65" s="3">
        <v>49.99</v>
      </c>
      <c r="F65" t="s">
        <v>14</v>
      </c>
      <c r="H65" s="6">
        <f t="shared" si="0"/>
        <v>99.98</v>
      </c>
      <c r="I65" t="str">
        <f>_xlfn.XLOOKUP(C65,Products!$A$2:$A$9,Products!$B$2:$B$9,"Not Found")</f>
        <v>Coffee Maker</v>
      </c>
    </row>
    <row r="66" spans="1:9">
      <c r="A66" t="s">
        <v>82</v>
      </c>
      <c r="B66" s="2">
        <v>46290</v>
      </c>
      <c r="C66" t="s">
        <v>10</v>
      </c>
      <c r="D66">
        <v>4</v>
      </c>
      <c r="E66" s="3">
        <v>39.99</v>
      </c>
      <c r="F66" t="s">
        <v>17</v>
      </c>
      <c r="H66" s="6">
        <f t="shared" si="0"/>
        <v>159.96</v>
      </c>
      <c r="I66" t="str">
        <f>_xlfn.XLOOKUP(C66,Products!$A$2:$A$9,Products!$B$2:$B$9,"Not Found")</f>
        <v>Headphones</v>
      </c>
    </row>
    <row r="67" spans="1:9">
      <c r="A67" t="s">
        <v>83</v>
      </c>
      <c r="B67" s="2">
        <v>46272</v>
      </c>
      <c r="C67" t="s">
        <v>13</v>
      </c>
      <c r="D67">
        <v>1</v>
      </c>
      <c r="E67" s="3">
        <v>25</v>
      </c>
      <c r="F67" t="s">
        <v>8</v>
      </c>
      <c r="H67" s="6">
        <f t="shared" ref="H67:H73" si="1">IF(D67="","",D67*E67)</f>
        <v>25</v>
      </c>
      <c r="I67" t="str">
        <f>_xlfn.XLOOKUP(C67,Products!$A$2:$A$9,Products!$B$2:$B$9,"Not Found")</f>
        <v>Desk Lamp</v>
      </c>
    </row>
    <row r="68" spans="1:9">
      <c r="A68" t="s">
        <v>84</v>
      </c>
      <c r="B68" s="2">
        <v>46279</v>
      </c>
      <c r="C68" t="s">
        <v>16</v>
      </c>
      <c r="D68">
        <v>3</v>
      </c>
      <c r="E68" s="3">
        <v>18.989999999999998</v>
      </c>
      <c r="F68" t="s">
        <v>11</v>
      </c>
      <c r="G68" t="s">
        <v>113</v>
      </c>
      <c r="H68" s="6">
        <f t="shared" si="1"/>
        <v>56.97</v>
      </c>
      <c r="I68" t="str">
        <f>_xlfn.XLOOKUP(C68,Products!$A$2:$A$9,Products!$B$2:$B$9,"Not Found")</f>
        <v>Desk Organizer</v>
      </c>
    </row>
    <row r="69" spans="1:9">
      <c r="A69" t="s">
        <v>84</v>
      </c>
      <c r="B69" s="2">
        <v>46286</v>
      </c>
      <c r="C69" t="s">
        <v>19</v>
      </c>
      <c r="D69">
        <v>5</v>
      </c>
      <c r="E69" s="3">
        <v>14.5</v>
      </c>
      <c r="F69" t="s">
        <v>14</v>
      </c>
      <c r="G69" t="s">
        <v>113</v>
      </c>
      <c r="H69" s="6">
        <f t="shared" si="1"/>
        <v>72.5</v>
      </c>
      <c r="I69" t="str">
        <f>_xlfn.XLOOKUP(C69,Products!$A$2:$A$9,Products!$B$2:$B$9,"Not Found")</f>
        <v>Water Bottle</v>
      </c>
    </row>
    <row r="70" spans="1:9">
      <c r="A70" t="s">
        <v>85</v>
      </c>
      <c r="B70" s="2">
        <v>46268</v>
      </c>
      <c r="C70" t="s">
        <v>21</v>
      </c>
      <c r="D70">
        <v>2</v>
      </c>
      <c r="E70" s="3">
        <v>59.99</v>
      </c>
      <c r="F70" t="s">
        <v>17</v>
      </c>
      <c r="H70" s="6">
        <f t="shared" si="1"/>
        <v>119.98</v>
      </c>
      <c r="I70" t="str">
        <f>_xlfn.XLOOKUP(C70,Products!$A$2:$A$9,Products!$B$2:$B$9,"Not Found")</f>
        <v>Blender</v>
      </c>
    </row>
    <row r="71" spans="1:9">
      <c r="A71" t="s">
        <v>86</v>
      </c>
      <c r="B71" s="2">
        <v>46275</v>
      </c>
      <c r="C71" t="s">
        <v>23</v>
      </c>
      <c r="D71">
        <v>4</v>
      </c>
      <c r="E71" s="3">
        <v>9.99</v>
      </c>
      <c r="F71" t="s">
        <v>8</v>
      </c>
      <c r="H71" s="6">
        <f t="shared" si="1"/>
        <v>39.96</v>
      </c>
      <c r="I71" t="str">
        <f>_xlfn.XLOOKUP(C71,Products!$A$2:$A$9,Products!$B$2:$B$9,"Not Found")</f>
        <v>USB Cable</v>
      </c>
    </row>
    <row r="72" spans="1:9">
      <c r="A72" t="s">
        <v>87</v>
      </c>
      <c r="B72" s="2">
        <v>46282</v>
      </c>
      <c r="C72" t="s">
        <v>25</v>
      </c>
      <c r="D72">
        <v>1</v>
      </c>
      <c r="E72" s="3">
        <v>5.99</v>
      </c>
      <c r="F72" t="s">
        <v>11</v>
      </c>
      <c r="H72" s="6">
        <f t="shared" si="1"/>
        <v>5.99</v>
      </c>
      <c r="I72" t="str">
        <f>_xlfn.XLOOKUP(C72,Products!$A$2:$A$9,Products!$B$2:$B$9,"Not Found")</f>
        <v>Notebook</v>
      </c>
    </row>
    <row r="73" spans="1:9">
      <c r="A73" t="s">
        <v>88</v>
      </c>
      <c r="B73" s="2">
        <v>46289</v>
      </c>
      <c r="C73" t="s">
        <v>7</v>
      </c>
      <c r="D73">
        <v>3</v>
      </c>
      <c r="E73" s="3">
        <v>49.99</v>
      </c>
      <c r="F73" t="s">
        <v>14</v>
      </c>
      <c r="H73" s="6">
        <f t="shared" si="1"/>
        <v>149.97</v>
      </c>
      <c r="I73" t="str">
        <f>_xlfn.XLOOKUP(C73,Products!$A$2:$A$9,Products!$B$2:$B$9,"Not Found")</f>
        <v>Coffee Maker</v>
      </c>
    </row>
    <row r="74" spans="1:9">
      <c r="H74" s="6">
        <f>SUM(H2:H73)</f>
        <v>5701.4799999999977</v>
      </c>
      <c r="I74" t="str">
        <f>_xlfn.XLOOKUP(C74,Products!$A$2:$A$9,Products!$B$2:$B$9,"Not Found")</f>
        <v>Not Found</v>
      </c>
    </row>
    <row r="81" spans="1:8" ht="33">
      <c r="A81" s="17"/>
      <c r="B81" s="17"/>
      <c r="C81" s="17"/>
      <c r="E81" s="6"/>
      <c r="H81"/>
    </row>
    <row r="82" spans="1:8" ht="25">
      <c r="A82" s="12"/>
      <c r="B82" s="15"/>
      <c r="C82" s="12"/>
      <c r="D82" s="12"/>
    </row>
    <row r="83" spans="1:8" ht="25">
      <c r="A83" s="12"/>
      <c r="B83" s="15"/>
      <c r="C83" s="12"/>
      <c r="D83" s="12"/>
    </row>
    <row r="84" spans="1:8" ht="25">
      <c r="A84" s="12"/>
      <c r="B84" s="16"/>
      <c r="C84" s="12"/>
      <c r="D84" s="12"/>
    </row>
    <row r="85" spans="1:8" ht="25">
      <c r="A85" s="13"/>
      <c r="B85" s="16"/>
      <c r="C85" s="12"/>
      <c r="D85" s="12"/>
    </row>
    <row r="86" spans="1:8" ht="25">
      <c r="A86" s="13"/>
      <c r="B86" s="15"/>
      <c r="C86" s="12"/>
      <c r="D86" s="12"/>
    </row>
    <row r="87" spans="1:8" ht="25">
      <c r="A87" s="13"/>
      <c r="B87" s="15"/>
      <c r="C87" s="12"/>
      <c r="D87" s="12"/>
    </row>
    <row r="88" spans="1:8" ht="25">
      <c r="A88" s="13"/>
      <c r="B88" s="15"/>
      <c r="C88" s="12"/>
      <c r="D88" s="12"/>
    </row>
    <row r="89" spans="1:8" ht="25">
      <c r="A89" s="13"/>
      <c r="B89" s="15"/>
      <c r="C89" s="12"/>
      <c r="D89" s="12"/>
    </row>
    <row r="90" spans="1:8" ht="25">
      <c r="A90" s="12"/>
      <c r="B90" s="12"/>
      <c r="C90" s="12"/>
      <c r="D90" s="12"/>
    </row>
    <row r="91" spans="1:8" ht="33">
      <c r="A91" s="20"/>
      <c r="B91" s="21"/>
    </row>
    <row r="93" spans="1:8" ht="25">
      <c r="A93" s="15"/>
    </row>
  </sheetData>
  <mergeCells count="1">
    <mergeCell ref="A91:B9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47EB-3C5C-6143-ACFD-3C70A47EEE5B}">
  <dimension ref="A5:B31"/>
  <sheetViews>
    <sheetView topLeftCell="A3" zoomScale="108" zoomScaleNormal="77" workbookViewId="0">
      <selection activeCell="G15" sqref="G15"/>
    </sheetView>
  </sheetViews>
  <sheetFormatPr baseColWidth="10" defaultRowHeight="14"/>
  <cols>
    <col min="1" max="1" width="14.83203125" bestFit="1" customWidth="1"/>
    <col min="2" max="2" width="15.83203125" bestFit="1" customWidth="1"/>
    <col min="3" max="3" width="7.5" bestFit="1" customWidth="1"/>
    <col min="4" max="4" width="11.6640625" bestFit="1" customWidth="1"/>
    <col min="5" max="5" width="15.6640625" bestFit="1" customWidth="1"/>
    <col min="6" max="6" width="18.5" bestFit="1" customWidth="1"/>
    <col min="7" max="7" width="20.83203125" bestFit="1" customWidth="1"/>
    <col min="8" max="9" width="18.5" bestFit="1" customWidth="1"/>
    <col min="10" max="11" width="20.83203125" bestFit="1" customWidth="1"/>
    <col min="12" max="13" width="18.5" bestFit="1" customWidth="1"/>
    <col min="14" max="14" width="15.6640625" bestFit="1" customWidth="1"/>
    <col min="15" max="16" width="13.33203125" bestFit="1" customWidth="1"/>
    <col min="17" max="17" width="15.6640625" bestFit="1" customWidth="1"/>
    <col min="18" max="19" width="13.33203125" bestFit="1" customWidth="1"/>
    <col min="20" max="20" width="20.83203125" bestFit="1" customWidth="1"/>
    <col min="21" max="22" width="18.5" bestFit="1" customWidth="1"/>
    <col min="23" max="25" width="7.1640625" bestFit="1" customWidth="1"/>
    <col min="26" max="29" width="6.1640625" bestFit="1" customWidth="1"/>
    <col min="30" max="37" width="7.1640625" bestFit="1" customWidth="1"/>
    <col min="38" max="41" width="6.1640625" bestFit="1" customWidth="1"/>
    <col min="42" max="49" width="7.1640625" bestFit="1" customWidth="1"/>
    <col min="50" max="51" width="6.1640625" bestFit="1" customWidth="1"/>
    <col min="52" max="52" width="6.83203125" bestFit="1" customWidth="1"/>
    <col min="53" max="53" width="6.1640625" bestFit="1" customWidth="1"/>
    <col min="54" max="62" width="7.1640625" bestFit="1" customWidth="1"/>
    <col min="63" max="64" width="6.1640625" bestFit="1" customWidth="1"/>
    <col min="65" max="73" width="7.1640625" bestFit="1" customWidth="1"/>
    <col min="74" max="74" width="11.6640625" bestFit="1" customWidth="1"/>
    <col min="75" max="75" width="11.1640625" bestFit="1" customWidth="1"/>
    <col min="76" max="76" width="8.1640625" bestFit="1" customWidth="1"/>
    <col min="77" max="77" width="11.1640625" bestFit="1" customWidth="1"/>
    <col min="78" max="78" width="8.1640625" bestFit="1" customWidth="1"/>
    <col min="79" max="79" width="11.1640625" bestFit="1" customWidth="1"/>
    <col min="80" max="80" width="8.1640625" bestFit="1" customWidth="1"/>
    <col min="81" max="81" width="11.1640625" bestFit="1" customWidth="1"/>
    <col min="82" max="82" width="9.1640625" bestFit="1" customWidth="1"/>
    <col min="83" max="83" width="12.1640625" bestFit="1" customWidth="1"/>
    <col min="84" max="84" width="9.1640625" bestFit="1" customWidth="1"/>
    <col min="85" max="85" width="12.1640625" bestFit="1" customWidth="1"/>
    <col min="86" max="86" width="9.1640625" bestFit="1" customWidth="1"/>
    <col min="87" max="87" width="12.1640625" bestFit="1" customWidth="1"/>
    <col min="88" max="88" width="9.1640625" bestFit="1" customWidth="1"/>
    <col min="89" max="89" width="12.1640625" bestFit="1" customWidth="1"/>
    <col min="90" max="90" width="9.1640625" bestFit="1" customWidth="1"/>
    <col min="91" max="91" width="12.1640625" bestFit="1" customWidth="1"/>
    <col min="92" max="92" width="9.1640625" bestFit="1" customWidth="1"/>
    <col min="93" max="93" width="12.1640625" bestFit="1" customWidth="1"/>
    <col min="94" max="94" width="9.1640625" bestFit="1" customWidth="1"/>
    <col min="95" max="95" width="12.1640625" bestFit="1" customWidth="1"/>
    <col min="96" max="96" width="9.1640625" bestFit="1" customWidth="1"/>
    <col min="97" max="97" width="12.1640625" bestFit="1" customWidth="1"/>
    <col min="98" max="98" width="8.1640625" bestFit="1" customWidth="1"/>
    <col min="99" max="99" width="11.1640625" bestFit="1" customWidth="1"/>
    <col min="100" max="100" width="8.1640625" bestFit="1" customWidth="1"/>
    <col min="101" max="101" width="11.1640625" bestFit="1" customWidth="1"/>
    <col min="102" max="102" width="8.1640625" bestFit="1" customWidth="1"/>
    <col min="103" max="103" width="11.1640625" bestFit="1" customWidth="1"/>
    <col min="104" max="104" width="8.1640625" bestFit="1" customWidth="1"/>
    <col min="105" max="105" width="11.1640625" bestFit="1" customWidth="1"/>
    <col min="106" max="106" width="9.1640625" bestFit="1" customWidth="1"/>
    <col min="107" max="107" width="12.1640625" bestFit="1" customWidth="1"/>
    <col min="108" max="108" width="9.1640625" bestFit="1" customWidth="1"/>
    <col min="109" max="109" width="12.1640625" bestFit="1" customWidth="1"/>
    <col min="110" max="110" width="9.1640625" bestFit="1" customWidth="1"/>
    <col min="111" max="111" width="12.1640625" bestFit="1" customWidth="1"/>
    <col min="112" max="112" width="9.1640625" bestFit="1" customWidth="1"/>
    <col min="113" max="113" width="12.1640625" bestFit="1" customWidth="1"/>
    <col min="114" max="114" width="9.1640625" bestFit="1" customWidth="1"/>
    <col min="115" max="115" width="12.1640625" bestFit="1" customWidth="1"/>
    <col min="116" max="116" width="9.1640625" bestFit="1" customWidth="1"/>
    <col min="117" max="117" width="12.1640625" bestFit="1" customWidth="1"/>
    <col min="118" max="118" width="9.1640625" bestFit="1" customWidth="1"/>
    <col min="119" max="119" width="12.1640625" bestFit="1" customWidth="1"/>
    <col min="120" max="120" width="9.1640625" bestFit="1" customWidth="1"/>
    <col min="121" max="121" width="12.1640625" bestFit="1" customWidth="1"/>
    <col min="122" max="122" width="8.1640625" bestFit="1" customWidth="1"/>
    <col min="123" max="123" width="11.1640625" bestFit="1" customWidth="1"/>
    <col min="124" max="124" width="8.1640625" bestFit="1" customWidth="1"/>
    <col min="125" max="125" width="11.1640625" bestFit="1" customWidth="1"/>
    <col min="126" max="126" width="8.1640625" bestFit="1" customWidth="1"/>
    <col min="127" max="127" width="11.1640625" bestFit="1" customWidth="1"/>
    <col min="128" max="128" width="9.1640625" bestFit="1" customWidth="1"/>
    <col min="129" max="129" width="12.1640625" bestFit="1" customWidth="1"/>
    <col min="130" max="130" width="9.1640625" bestFit="1" customWidth="1"/>
    <col min="131" max="131" width="12.1640625" bestFit="1" customWidth="1"/>
    <col min="132" max="132" width="9.1640625" bestFit="1" customWidth="1"/>
    <col min="133" max="133" width="12.1640625" bestFit="1" customWidth="1"/>
    <col min="134" max="134" width="9.1640625" bestFit="1" customWidth="1"/>
    <col min="135" max="135" width="12.1640625" bestFit="1" customWidth="1"/>
    <col min="136" max="136" width="9.1640625" bestFit="1" customWidth="1"/>
    <col min="137" max="137" width="12.1640625" bestFit="1" customWidth="1"/>
    <col min="138" max="138" width="9.1640625" bestFit="1" customWidth="1"/>
    <col min="139" max="139" width="12.1640625" bestFit="1" customWidth="1"/>
    <col min="140" max="140" width="9.1640625" bestFit="1" customWidth="1"/>
    <col min="141" max="141" width="12.1640625" bestFit="1" customWidth="1"/>
    <col min="142" max="142" width="9.1640625" bestFit="1" customWidth="1"/>
    <col min="143" max="143" width="12.1640625" bestFit="1" customWidth="1"/>
    <col min="144" max="144" width="9.1640625" bestFit="1" customWidth="1"/>
    <col min="145" max="145" width="12.1640625" bestFit="1" customWidth="1"/>
    <col min="146" max="146" width="9.33203125" bestFit="1" customWidth="1"/>
    <col min="147" max="147" width="12.33203125" bestFit="1" customWidth="1"/>
    <col min="148" max="148" width="11.6640625" bestFit="1" customWidth="1"/>
  </cols>
  <sheetData>
    <row r="5" spans="1:2">
      <c r="A5" s="7" t="s">
        <v>117</v>
      </c>
      <c r="B5" t="s">
        <v>119</v>
      </c>
    </row>
    <row r="6" spans="1:2">
      <c r="A6" s="8" t="s">
        <v>124</v>
      </c>
      <c r="B6">
        <v>179.97</v>
      </c>
    </row>
    <row r="7" spans="1:2">
      <c r="A7" s="8" t="s">
        <v>122</v>
      </c>
      <c r="B7">
        <v>264.94000000000005</v>
      </c>
    </row>
    <row r="8" spans="1:2">
      <c r="A8" s="8" t="s">
        <v>125</v>
      </c>
      <c r="B8">
        <v>67.930000000000007</v>
      </c>
    </row>
    <row r="9" spans="1:2">
      <c r="A9" s="8" t="s">
        <v>126</v>
      </c>
      <c r="B9">
        <v>106.92999999999999</v>
      </c>
    </row>
    <row r="10" spans="1:2">
      <c r="A10" s="8" t="s">
        <v>123</v>
      </c>
      <c r="B10">
        <v>339.92</v>
      </c>
    </row>
    <row r="11" spans="1:2">
      <c r="A11" s="8" t="s">
        <v>128</v>
      </c>
      <c r="B11">
        <v>269.95999999999998</v>
      </c>
    </row>
    <row r="12" spans="1:2" ht="13" customHeight="1">
      <c r="A12" s="8" t="s">
        <v>129</v>
      </c>
      <c r="B12">
        <v>200.91</v>
      </c>
    </row>
    <row r="13" spans="1:2">
      <c r="A13" s="8" t="s">
        <v>130</v>
      </c>
      <c r="B13">
        <v>18.989999999999998</v>
      </c>
    </row>
    <row r="14" spans="1:2">
      <c r="A14" s="8" t="s">
        <v>127</v>
      </c>
      <c r="B14">
        <v>414.41</v>
      </c>
    </row>
    <row r="15" spans="1:2">
      <c r="A15" s="8" t="s">
        <v>132</v>
      </c>
      <c r="B15">
        <v>407.94</v>
      </c>
    </row>
    <row r="16" spans="1:2">
      <c r="A16" s="8" t="s">
        <v>133</v>
      </c>
      <c r="B16">
        <v>239.95</v>
      </c>
    </row>
    <row r="17" spans="1:2">
      <c r="A17" s="8" t="s">
        <v>134</v>
      </c>
      <c r="B17">
        <v>125</v>
      </c>
    </row>
    <row r="18" spans="1:2">
      <c r="A18" s="8" t="s">
        <v>131</v>
      </c>
      <c r="B18">
        <v>105.44</v>
      </c>
    </row>
    <row r="19" spans="1:2">
      <c r="A19" s="8" t="s">
        <v>137</v>
      </c>
      <c r="B19">
        <v>334.43</v>
      </c>
    </row>
    <row r="20" spans="1:2">
      <c r="A20" s="8" t="s">
        <v>135</v>
      </c>
      <c r="B20">
        <v>162.91000000000003</v>
      </c>
    </row>
    <row r="21" spans="1:2">
      <c r="A21" s="8" t="s">
        <v>138</v>
      </c>
      <c r="B21">
        <v>219.93</v>
      </c>
    </row>
    <row r="22" spans="1:2">
      <c r="A22" s="8" t="s">
        <v>139</v>
      </c>
      <c r="B22">
        <v>109.99</v>
      </c>
    </row>
    <row r="23" spans="1:2">
      <c r="A23" s="8" t="s">
        <v>136</v>
      </c>
      <c r="B23">
        <v>298.43</v>
      </c>
    </row>
    <row r="24" spans="1:2">
      <c r="A24" s="8" t="s">
        <v>141</v>
      </c>
      <c r="B24">
        <v>346.41</v>
      </c>
    </row>
    <row r="25" spans="1:2">
      <c r="A25" s="8" t="s">
        <v>142</v>
      </c>
      <c r="B25">
        <v>619.89</v>
      </c>
    </row>
    <row r="26" spans="1:2">
      <c r="A26" s="8" t="s">
        <v>140</v>
      </c>
      <c r="B26">
        <v>16.979999999999993</v>
      </c>
    </row>
    <row r="27" spans="1:2">
      <c r="A27" s="8" t="s">
        <v>144</v>
      </c>
      <c r="B27">
        <v>126.88</v>
      </c>
    </row>
    <row r="28" spans="1:2">
      <c r="A28" s="8" t="s">
        <v>145</v>
      </c>
      <c r="B28">
        <v>238.46</v>
      </c>
    </row>
    <row r="29" spans="1:2">
      <c r="A29" s="8" t="s">
        <v>146</v>
      </c>
      <c r="B29">
        <v>309.93</v>
      </c>
    </row>
    <row r="30" spans="1:2">
      <c r="A30" s="8" t="s">
        <v>143</v>
      </c>
      <c r="B30">
        <v>174.95</v>
      </c>
    </row>
    <row r="31" spans="1:2">
      <c r="A31" s="8" t="s">
        <v>118</v>
      </c>
      <c r="B31">
        <v>5701.48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58E83-CCCC-A845-B10D-FD654D5773C3}">
  <dimension ref="A1:I12"/>
  <sheetViews>
    <sheetView workbookViewId="0">
      <selection activeCell="C11" sqref="C11"/>
    </sheetView>
  </sheetViews>
  <sheetFormatPr baseColWidth="10" defaultRowHeight="14"/>
  <cols>
    <col min="1" max="1" width="11" bestFit="1" customWidth="1"/>
    <col min="2" max="2" width="11.33203125" bestFit="1" customWidth="1"/>
    <col min="3" max="3" width="12.5" bestFit="1" customWidth="1"/>
    <col min="4" max="4" width="11.33203125" bestFit="1" customWidth="1"/>
    <col min="5" max="5" width="11.6640625" bestFit="1" customWidth="1"/>
    <col min="6" max="6" width="11.83203125" bestFit="1" customWidth="1"/>
    <col min="7" max="7" width="20.1640625" bestFit="1" customWidth="1"/>
    <col min="8" max="8" width="11.33203125" bestFit="1" customWidth="1"/>
    <col min="9" max="9" width="15.5" bestFit="1" customWidth="1"/>
  </cols>
  <sheetData>
    <row r="1" spans="1:9" ht="15">
      <c r="A1" s="11" t="s">
        <v>121</v>
      </c>
    </row>
    <row r="3" spans="1:9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111</v>
      </c>
      <c r="H3" t="s">
        <v>116</v>
      </c>
      <c r="I3" t="s">
        <v>120</v>
      </c>
    </row>
    <row r="4" spans="1:9">
      <c r="A4" t="s">
        <v>86</v>
      </c>
      <c r="B4" s="10">
        <v>46275</v>
      </c>
      <c r="C4" t="s">
        <v>23</v>
      </c>
      <c r="D4">
        <v>4</v>
      </c>
      <c r="E4">
        <v>9.99</v>
      </c>
      <c r="F4" t="s">
        <v>8</v>
      </c>
      <c r="H4">
        <v>39.96</v>
      </c>
      <c r="I4" t="s">
        <v>102</v>
      </c>
    </row>
    <row r="5" spans="1:9">
      <c r="A5" t="s">
        <v>79</v>
      </c>
      <c r="B5" s="10">
        <v>46269</v>
      </c>
      <c r="C5" t="s">
        <v>23</v>
      </c>
      <c r="D5">
        <v>3</v>
      </c>
      <c r="E5">
        <v>9.99</v>
      </c>
      <c r="F5" t="s">
        <v>8</v>
      </c>
      <c r="H5">
        <v>29.97</v>
      </c>
      <c r="I5" t="s">
        <v>102</v>
      </c>
    </row>
    <row r="6" spans="1:9">
      <c r="A6" t="s">
        <v>76</v>
      </c>
      <c r="B6" s="10">
        <v>46242</v>
      </c>
      <c r="C6" t="s">
        <v>23</v>
      </c>
      <c r="D6">
        <v>-2</v>
      </c>
      <c r="E6">
        <v>9.99</v>
      </c>
      <c r="F6" t="s">
        <v>14</v>
      </c>
      <c r="G6" t="s">
        <v>114</v>
      </c>
      <c r="H6">
        <v>-19.98</v>
      </c>
      <c r="I6" t="s">
        <v>102</v>
      </c>
    </row>
    <row r="7" spans="1:9">
      <c r="A7" t="s">
        <v>68</v>
      </c>
      <c r="B7" s="10">
        <v>46236</v>
      </c>
      <c r="C7" t="s">
        <v>23</v>
      </c>
      <c r="D7">
        <v>1</v>
      </c>
      <c r="E7">
        <v>9.99</v>
      </c>
      <c r="F7" t="s">
        <v>14</v>
      </c>
      <c r="H7">
        <v>9.99</v>
      </c>
      <c r="I7" t="s">
        <v>102</v>
      </c>
    </row>
    <row r="8" spans="1:9">
      <c r="A8" t="s">
        <v>65</v>
      </c>
      <c r="B8" s="10">
        <v>46209</v>
      </c>
      <c r="C8" t="s">
        <v>23</v>
      </c>
      <c r="D8">
        <v>5</v>
      </c>
      <c r="E8">
        <v>9.99</v>
      </c>
      <c r="F8" t="s">
        <v>8</v>
      </c>
      <c r="H8">
        <v>49.95</v>
      </c>
      <c r="I8" t="s">
        <v>102</v>
      </c>
    </row>
    <row r="9" spans="1:9">
      <c r="A9" t="s">
        <v>57</v>
      </c>
      <c r="B9" s="10">
        <v>46228</v>
      </c>
      <c r="C9" t="s">
        <v>23</v>
      </c>
      <c r="D9">
        <v>4</v>
      </c>
      <c r="E9">
        <v>9.99</v>
      </c>
      <c r="F9" t="s">
        <v>8</v>
      </c>
      <c r="H9">
        <v>39.96</v>
      </c>
      <c r="I9" t="s">
        <v>102</v>
      </c>
    </row>
    <row r="10" spans="1:9">
      <c r="A10" t="s">
        <v>22</v>
      </c>
      <c r="B10" s="10">
        <v>46131</v>
      </c>
      <c r="C10" t="s">
        <v>23</v>
      </c>
      <c r="D10">
        <v>3</v>
      </c>
      <c r="E10">
        <v>9.99</v>
      </c>
      <c r="F10" t="s">
        <v>14</v>
      </c>
      <c r="H10">
        <v>29.97</v>
      </c>
      <c r="I10" t="s">
        <v>102</v>
      </c>
    </row>
    <row r="11" spans="1:9">
      <c r="A11" t="s">
        <v>46</v>
      </c>
      <c r="B11" s="10">
        <v>46196</v>
      </c>
      <c r="C11" t="s">
        <v>23</v>
      </c>
      <c r="D11">
        <v>2</v>
      </c>
      <c r="E11">
        <v>9.99</v>
      </c>
      <c r="F11" t="s">
        <v>14</v>
      </c>
      <c r="H11">
        <v>19.98</v>
      </c>
      <c r="I11" t="s">
        <v>102</v>
      </c>
    </row>
    <row r="12" spans="1:9">
      <c r="A12" t="s">
        <v>35</v>
      </c>
      <c r="B12" s="10">
        <v>46163</v>
      </c>
      <c r="C12" t="s">
        <v>23</v>
      </c>
      <c r="D12">
        <v>5</v>
      </c>
      <c r="E12">
        <v>9.99</v>
      </c>
      <c r="F12" t="s">
        <v>8</v>
      </c>
      <c r="H12">
        <v>49.95</v>
      </c>
      <c r="I12" t="s">
        <v>102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5" customWidth="1"/>
    <col min="2" max="3" width="17" customWidth="1"/>
    <col min="4" max="4" width="15" customWidth="1"/>
    <col min="5" max="5" width="17" customWidth="1"/>
    <col min="6" max="6" width="16" customWidth="1"/>
  </cols>
  <sheetData>
    <row r="1" spans="1:6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46114</v>
      </c>
      <c r="C2" t="s">
        <v>7</v>
      </c>
      <c r="D2">
        <v>1</v>
      </c>
      <c r="E2" s="3">
        <v>49.99</v>
      </c>
      <c r="F2" t="s">
        <v>8</v>
      </c>
    </row>
    <row r="3" spans="1:6">
      <c r="A3" t="s">
        <v>9</v>
      </c>
      <c r="B3" s="2">
        <v>46121</v>
      </c>
      <c r="C3" t="s">
        <v>10</v>
      </c>
      <c r="D3">
        <v>3</v>
      </c>
      <c r="E3" s="3">
        <v>39.99</v>
      </c>
      <c r="F3" t="s">
        <v>11</v>
      </c>
    </row>
    <row r="4" spans="1:6">
      <c r="A4" t="s">
        <v>12</v>
      </c>
      <c r="B4" s="2">
        <v>46128</v>
      </c>
      <c r="C4" t="s">
        <v>13</v>
      </c>
      <c r="D4">
        <v>5</v>
      </c>
      <c r="E4" s="3">
        <v>25</v>
      </c>
      <c r="F4" t="s">
        <v>14</v>
      </c>
    </row>
    <row r="5" spans="1:6">
      <c r="A5" t="s">
        <v>15</v>
      </c>
      <c r="B5" s="2">
        <v>46135</v>
      </c>
      <c r="C5" t="s">
        <v>16</v>
      </c>
      <c r="D5">
        <v>2</v>
      </c>
      <c r="E5" s="3">
        <v>18.989999999999998</v>
      </c>
      <c r="F5" t="s">
        <v>17</v>
      </c>
    </row>
    <row r="6" spans="1:6">
      <c r="A6" t="s">
        <v>18</v>
      </c>
      <c r="B6" s="2">
        <v>46117</v>
      </c>
      <c r="C6" t="s">
        <v>19</v>
      </c>
      <c r="D6">
        <v>4</v>
      </c>
      <c r="E6" s="3">
        <v>14.5</v>
      </c>
      <c r="F6" t="s">
        <v>8</v>
      </c>
    </row>
    <row r="7" spans="1:6">
      <c r="A7" t="s">
        <v>20</v>
      </c>
      <c r="B7" s="2">
        <v>46124</v>
      </c>
      <c r="C7" t="s">
        <v>21</v>
      </c>
      <c r="D7">
        <v>1</v>
      </c>
      <c r="E7" s="3">
        <v>59.99</v>
      </c>
      <c r="F7" t="s">
        <v>11</v>
      </c>
    </row>
    <row r="8" spans="1:6">
      <c r="A8" t="s">
        <v>22</v>
      </c>
      <c r="B8" s="2">
        <v>46131</v>
      </c>
      <c r="C8" t="s">
        <v>23</v>
      </c>
      <c r="D8">
        <v>3</v>
      </c>
      <c r="E8" s="3">
        <v>9.99</v>
      </c>
      <c r="F8" t="s">
        <v>14</v>
      </c>
    </row>
    <row r="9" spans="1:6">
      <c r="A9" t="s">
        <v>24</v>
      </c>
      <c r="B9" s="2">
        <v>46138</v>
      </c>
      <c r="C9" t="s">
        <v>25</v>
      </c>
      <c r="D9">
        <v>5</v>
      </c>
      <c r="E9" s="3">
        <v>5.99</v>
      </c>
      <c r="F9" t="s">
        <v>17</v>
      </c>
    </row>
    <row r="10" spans="1:6">
      <c r="A10" t="s">
        <v>26</v>
      </c>
      <c r="B10" s="2">
        <v>46120</v>
      </c>
      <c r="C10" t="s">
        <v>7</v>
      </c>
      <c r="D10">
        <v>2</v>
      </c>
      <c r="E10" s="3">
        <v>49.99</v>
      </c>
      <c r="F10" t="s">
        <v>8</v>
      </c>
    </row>
    <row r="11" spans="1:6">
      <c r="A11" t="s">
        <v>27</v>
      </c>
      <c r="B11" s="2">
        <v>46127</v>
      </c>
      <c r="C11" t="s">
        <v>10</v>
      </c>
      <c r="D11">
        <v>4</v>
      </c>
      <c r="E11" s="3">
        <v>39.99</v>
      </c>
      <c r="F11" t="s">
        <v>11</v>
      </c>
    </row>
    <row r="12" spans="1:6">
      <c r="A12" t="s">
        <v>28</v>
      </c>
      <c r="B12" s="2">
        <v>46134</v>
      </c>
      <c r="C12" t="s">
        <v>13</v>
      </c>
      <c r="D12">
        <v>1</v>
      </c>
      <c r="E12" s="3">
        <v>25</v>
      </c>
      <c r="F12" t="s">
        <v>14</v>
      </c>
    </row>
    <row r="13" spans="1:6">
      <c r="A13" t="s">
        <v>29</v>
      </c>
      <c r="B13" s="2">
        <v>46116</v>
      </c>
      <c r="C13" t="s">
        <v>16</v>
      </c>
      <c r="D13">
        <v>3</v>
      </c>
      <c r="E13" s="3">
        <v>18.989999999999998</v>
      </c>
      <c r="F13" t="s">
        <v>17</v>
      </c>
    </row>
    <row r="14" spans="1:6">
      <c r="A14" t="s">
        <v>30</v>
      </c>
      <c r="B14" s="2">
        <v>46153</v>
      </c>
      <c r="C14" t="s">
        <v>13</v>
      </c>
      <c r="D14">
        <v>5</v>
      </c>
      <c r="E14" s="3">
        <v>39.99</v>
      </c>
      <c r="F14" t="s">
        <v>17</v>
      </c>
    </row>
    <row r="15" spans="1:6">
      <c r="A15" t="s">
        <v>31</v>
      </c>
      <c r="B15" s="2">
        <v>46160</v>
      </c>
      <c r="C15" t="s">
        <v>13</v>
      </c>
      <c r="D15">
        <v>2</v>
      </c>
      <c r="E15" s="3">
        <v>25</v>
      </c>
      <c r="F15" t="s">
        <v>8</v>
      </c>
    </row>
    <row r="16" spans="1:6">
      <c r="A16" t="s">
        <v>32</v>
      </c>
      <c r="B16" s="2">
        <v>46167</v>
      </c>
      <c r="C16" t="s">
        <v>16</v>
      </c>
      <c r="D16">
        <v>4</v>
      </c>
      <c r="E16" s="3">
        <v>18.989999999999998</v>
      </c>
      <c r="F16" t="s">
        <v>11</v>
      </c>
    </row>
    <row r="17" spans="1:6">
      <c r="A17" t="s">
        <v>33</v>
      </c>
      <c r="B17" s="2">
        <v>46149</v>
      </c>
      <c r="C17" t="s">
        <v>19</v>
      </c>
      <c r="D17">
        <v>1</v>
      </c>
      <c r="E17" s="3">
        <v>14.5</v>
      </c>
      <c r="F17" t="s">
        <v>14</v>
      </c>
    </row>
    <row r="18" spans="1:6">
      <c r="A18" t="s">
        <v>34</v>
      </c>
      <c r="B18" s="2">
        <v>46156</v>
      </c>
      <c r="C18" t="s">
        <v>21</v>
      </c>
      <c r="D18">
        <v>3</v>
      </c>
      <c r="E18" s="3">
        <v>59.99</v>
      </c>
      <c r="F18" t="s">
        <v>17</v>
      </c>
    </row>
    <row r="19" spans="1:6">
      <c r="A19" t="s">
        <v>35</v>
      </c>
      <c r="B19" s="2">
        <v>46163</v>
      </c>
      <c r="C19" t="s">
        <v>23</v>
      </c>
      <c r="D19">
        <v>5</v>
      </c>
      <c r="E19" s="3">
        <v>9.99</v>
      </c>
      <c r="F19" t="s">
        <v>8</v>
      </c>
    </row>
    <row r="20" spans="1:6">
      <c r="A20" t="s">
        <v>36</v>
      </c>
      <c r="B20" s="2">
        <v>46145</v>
      </c>
      <c r="C20" t="s">
        <v>25</v>
      </c>
      <c r="D20">
        <v>2</v>
      </c>
      <c r="E20" s="3">
        <v>5.99</v>
      </c>
      <c r="F20" t="s">
        <v>11</v>
      </c>
    </row>
    <row r="21" spans="1:6">
      <c r="A21" t="s">
        <v>37</v>
      </c>
      <c r="B21" s="2">
        <v>46152</v>
      </c>
      <c r="C21" t="s">
        <v>7</v>
      </c>
      <c r="D21">
        <v>4</v>
      </c>
      <c r="E21" s="3">
        <v>49.99</v>
      </c>
      <c r="F21" t="s">
        <v>14</v>
      </c>
    </row>
    <row r="22" spans="1:6">
      <c r="A22" t="s">
        <v>38</v>
      </c>
      <c r="B22" s="2">
        <v>46159</v>
      </c>
      <c r="C22" t="s">
        <v>10</v>
      </c>
      <c r="D22">
        <v>1</v>
      </c>
      <c r="E22" s="3">
        <v>39.99</v>
      </c>
      <c r="F22" t="s">
        <v>17</v>
      </c>
    </row>
    <row r="23" spans="1:6">
      <c r="A23" t="s">
        <v>39</v>
      </c>
      <c r="B23" s="2">
        <v>46166</v>
      </c>
      <c r="C23" t="s">
        <v>13</v>
      </c>
      <c r="D23">
        <v>3</v>
      </c>
      <c r="E23" s="3">
        <v>25</v>
      </c>
      <c r="F23" t="s">
        <v>8</v>
      </c>
    </row>
    <row r="24" spans="1:6">
      <c r="A24" t="s">
        <v>40</v>
      </c>
      <c r="B24" s="2">
        <v>46148</v>
      </c>
      <c r="C24" t="s">
        <v>16</v>
      </c>
      <c r="D24">
        <v>5</v>
      </c>
      <c r="E24" s="3">
        <v>18.989999999999998</v>
      </c>
      <c r="F24" t="s">
        <v>11</v>
      </c>
    </row>
    <row r="25" spans="1:6">
      <c r="A25" t="s">
        <v>41</v>
      </c>
      <c r="B25" s="2">
        <v>46155</v>
      </c>
      <c r="C25" t="s">
        <v>19</v>
      </c>
      <c r="E25" s="3">
        <v>14.5</v>
      </c>
      <c r="F25" t="s">
        <v>14</v>
      </c>
    </row>
    <row r="26" spans="1:6">
      <c r="A26" t="s">
        <v>42</v>
      </c>
      <c r="B26" s="2">
        <v>46193</v>
      </c>
      <c r="C26" t="s">
        <v>13</v>
      </c>
      <c r="D26">
        <v>4</v>
      </c>
      <c r="E26" s="3">
        <v>25</v>
      </c>
      <c r="F26" t="s">
        <v>14</v>
      </c>
    </row>
    <row r="27" spans="1:6">
      <c r="A27" t="s">
        <v>43</v>
      </c>
      <c r="B27" s="2">
        <v>46175</v>
      </c>
      <c r="C27" t="s">
        <v>16</v>
      </c>
      <c r="D27">
        <v>1</v>
      </c>
      <c r="E27" s="3">
        <v>18.989999999999998</v>
      </c>
      <c r="F27" t="s">
        <v>17</v>
      </c>
    </row>
    <row r="28" spans="1:6">
      <c r="A28" t="s">
        <v>44</v>
      </c>
      <c r="B28" s="2">
        <v>46182</v>
      </c>
      <c r="C28" t="s">
        <v>19</v>
      </c>
      <c r="D28">
        <v>3</v>
      </c>
      <c r="E28" s="3">
        <v>14.5</v>
      </c>
      <c r="F28" t="s">
        <v>8</v>
      </c>
    </row>
    <row r="29" spans="1:6">
      <c r="A29" t="s">
        <v>45</v>
      </c>
      <c r="B29" s="2">
        <v>46189</v>
      </c>
      <c r="C29" t="s">
        <v>21</v>
      </c>
      <c r="D29">
        <v>5</v>
      </c>
      <c r="E29" s="3">
        <v>59.99</v>
      </c>
      <c r="F29" t="s">
        <v>11</v>
      </c>
    </row>
    <row r="30" spans="1:6">
      <c r="A30" t="s">
        <v>46</v>
      </c>
      <c r="B30" s="2">
        <v>46196</v>
      </c>
      <c r="C30" t="s">
        <v>23</v>
      </c>
      <c r="D30">
        <v>2</v>
      </c>
      <c r="E30" s="3">
        <v>9.99</v>
      </c>
      <c r="F30" t="s">
        <v>14</v>
      </c>
    </row>
    <row r="31" spans="1:6">
      <c r="A31" t="s">
        <v>47</v>
      </c>
      <c r="B31" s="2">
        <v>46178</v>
      </c>
      <c r="C31" t="s">
        <v>25</v>
      </c>
      <c r="D31">
        <v>4</v>
      </c>
      <c r="E31" s="3">
        <v>5.99</v>
      </c>
      <c r="F31" t="s">
        <v>17</v>
      </c>
    </row>
    <row r="32" spans="1:6">
      <c r="A32" t="s">
        <v>48</v>
      </c>
      <c r="B32" s="2">
        <v>46185</v>
      </c>
      <c r="C32" t="s">
        <v>7</v>
      </c>
      <c r="D32">
        <v>1</v>
      </c>
      <c r="E32" s="3">
        <v>49.99</v>
      </c>
      <c r="F32" t="s">
        <v>8</v>
      </c>
    </row>
    <row r="33" spans="1:6">
      <c r="A33" t="s">
        <v>49</v>
      </c>
      <c r="B33" s="2">
        <v>46192</v>
      </c>
      <c r="C33" t="s">
        <v>10</v>
      </c>
      <c r="D33">
        <v>3</v>
      </c>
      <c r="E33" s="3">
        <v>39.99</v>
      </c>
      <c r="F33" t="s">
        <v>11</v>
      </c>
    </row>
    <row r="34" spans="1:6">
      <c r="A34" t="s">
        <v>50</v>
      </c>
      <c r="B34" s="2">
        <v>46199</v>
      </c>
      <c r="C34" t="s">
        <v>13</v>
      </c>
      <c r="D34">
        <v>5</v>
      </c>
      <c r="E34" s="3">
        <v>25</v>
      </c>
      <c r="F34" t="s">
        <v>14</v>
      </c>
    </row>
    <row r="35" spans="1:6">
      <c r="A35" t="s">
        <v>51</v>
      </c>
      <c r="B35" s="2">
        <v>46181</v>
      </c>
      <c r="C35" t="s">
        <v>16</v>
      </c>
      <c r="D35">
        <v>2</v>
      </c>
      <c r="E35" s="3">
        <v>18.989999999999998</v>
      </c>
      <c r="F35" t="s">
        <v>17</v>
      </c>
    </row>
    <row r="36" spans="1:6">
      <c r="A36" t="s">
        <v>52</v>
      </c>
      <c r="B36" s="2">
        <v>46188</v>
      </c>
      <c r="C36" t="s">
        <v>19</v>
      </c>
      <c r="D36">
        <v>4</v>
      </c>
      <c r="E36" s="3">
        <v>14.5</v>
      </c>
      <c r="F36" t="s">
        <v>8</v>
      </c>
    </row>
    <row r="37" spans="1:6">
      <c r="A37" t="s">
        <v>53</v>
      </c>
      <c r="B37" s="2">
        <v>46195</v>
      </c>
      <c r="C37" t="s">
        <v>21</v>
      </c>
      <c r="D37">
        <v>1</v>
      </c>
      <c r="E37" s="3">
        <v>0</v>
      </c>
      <c r="F37" t="s">
        <v>11</v>
      </c>
    </row>
    <row r="38" spans="1:6">
      <c r="A38" t="s">
        <v>54</v>
      </c>
      <c r="B38" s="2">
        <v>46207</v>
      </c>
      <c r="C38" t="s">
        <v>16</v>
      </c>
      <c r="D38">
        <v>3</v>
      </c>
      <c r="E38" s="3">
        <v>18.989999999999998</v>
      </c>
      <c r="F38" t="s">
        <v>11</v>
      </c>
    </row>
    <row r="39" spans="1:6">
      <c r="A39" t="s">
        <v>55</v>
      </c>
      <c r="B39" s="2">
        <v>46214</v>
      </c>
      <c r="C39" t="s">
        <v>19</v>
      </c>
      <c r="D39">
        <v>5</v>
      </c>
      <c r="E39" s="3">
        <v>14.5</v>
      </c>
      <c r="F39" t="s">
        <v>14</v>
      </c>
    </row>
    <row r="40" spans="1:6">
      <c r="A40" t="s">
        <v>56</v>
      </c>
      <c r="B40" s="2">
        <v>46221</v>
      </c>
      <c r="C40" t="s">
        <v>21</v>
      </c>
      <c r="D40">
        <v>2</v>
      </c>
      <c r="E40" s="3">
        <v>59.99</v>
      </c>
      <c r="F40" t="s">
        <v>17</v>
      </c>
    </row>
    <row r="41" spans="1:6">
      <c r="A41" t="s">
        <v>57</v>
      </c>
      <c r="B41" s="2">
        <v>46228</v>
      </c>
      <c r="C41" t="s">
        <v>23</v>
      </c>
      <c r="D41">
        <v>4</v>
      </c>
      <c r="E41" s="3">
        <v>9.99</v>
      </c>
      <c r="F41" t="s">
        <v>8</v>
      </c>
    </row>
    <row r="42" spans="1:6">
      <c r="A42" t="s">
        <v>58</v>
      </c>
      <c r="B42" s="2">
        <v>46210</v>
      </c>
      <c r="C42" t="s">
        <v>25</v>
      </c>
      <c r="D42">
        <v>1</v>
      </c>
      <c r="E42" s="3">
        <v>5.99</v>
      </c>
      <c r="F42" t="s">
        <v>11</v>
      </c>
    </row>
    <row r="43" spans="1:6">
      <c r="A43" t="s">
        <v>59</v>
      </c>
      <c r="B43" s="2">
        <v>46217</v>
      </c>
      <c r="C43" t="s">
        <v>7</v>
      </c>
      <c r="D43">
        <v>3</v>
      </c>
      <c r="E43" s="3">
        <v>49.99</v>
      </c>
      <c r="F43" t="s">
        <v>14</v>
      </c>
    </row>
    <row r="44" spans="1:6">
      <c r="A44" t="s">
        <v>60</v>
      </c>
      <c r="B44" s="2">
        <v>46224</v>
      </c>
      <c r="C44" t="s">
        <v>10</v>
      </c>
      <c r="D44">
        <v>5</v>
      </c>
      <c r="E44" s="3">
        <v>39.99</v>
      </c>
      <c r="F44" t="s">
        <v>17</v>
      </c>
    </row>
    <row r="45" spans="1:6">
      <c r="A45" t="s">
        <v>61</v>
      </c>
      <c r="B45" s="2">
        <v>46206</v>
      </c>
      <c r="C45" t="s">
        <v>13</v>
      </c>
      <c r="D45">
        <v>2</v>
      </c>
      <c r="E45" s="3">
        <v>25</v>
      </c>
      <c r="F45" t="s">
        <v>8</v>
      </c>
    </row>
    <row r="46" spans="1:6">
      <c r="A46" t="s">
        <v>62</v>
      </c>
      <c r="B46" s="2">
        <v>46213</v>
      </c>
      <c r="C46" t="s">
        <v>16</v>
      </c>
      <c r="D46">
        <v>4</v>
      </c>
      <c r="E46" s="3">
        <v>18.989999999999998</v>
      </c>
      <c r="F46" t="s">
        <v>11</v>
      </c>
    </row>
    <row r="47" spans="1:6">
      <c r="A47" t="s">
        <v>63</v>
      </c>
      <c r="B47" s="2">
        <v>46220</v>
      </c>
      <c r="C47" t="s">
        <v>19</v>
      </c>
      <c r="D47">
        <v>1</v>
      </c>
      <c r="E47" s="3">
        <v>14.5</v>
      </c>
      <c r="F47" t="s">
        <v>14</v>
      </c>
    </row>
    <row r="48" spans="1:6">
      <c r="A48" t="s">
        <v>64</v>
      </c>
      <c r="B48" s="2">
        <v>46227</v>
      </c>
      <c r="C48" t="s">
        <v>21</v>
      </c>
      <c r="D48">
        <v>3</v>
      </c>
      <c r="E48" s="3">
        <v>59.99</v>
      </c>
      <c r="F48" t="s">
        <v>17</v>
      </c>
    </row>
    <row r="49" spans="1:6">
      <c r="A49" t="s">
        <v>65</v>
      </c>
      <c r="B49" s="2">
        <v>46209</v>
      </c>
      <c r="C49" t="s">
        <v>23</v>
      </c>
      <c r="D49">
        <v>5</v>
      </c>
      <c r="E49" s="3">
        <v>9.99</v>
      </c>
      <c r="F49" t="s">
        <v>8</v>
      </c>
    </row>
    <row r="50" spans="1:6">
      <c r="A50" t="s">
        <v>66</v>
      </c>
      <c r="B50" s="2">
        <v>46247</v>
      </c>
      <c r="C50" t="s">
        <v>19</v>
      </c>
      <c r="D50">
        <v>2</v>
      </c>
      <c r="E50" s="3">
        <v>14.5</v>
      </c>
      <c r="F50" t="s">
        <v>8</v>
      </c>
    </row>
    <row r="51" spans="1:6">
      <c r="A51" t="s">
        <v>67</v>
      </c>
      <c r="B51" s="2">
        <v>46254</v>
      </c>
      <c r="C51" t="s">
        <v>21</v>
      </c>
      <c r="D51">
        <v>4</v>
      </c>
      <c r="E51" s="3">
        <v>59.99</v>
      </c>
      <c r="F51" t="s">
        <v>11</v>
      </c>
    </row>
    <row r="52" spans="1:6">
      <c r="A52" t="s">
        <v>68</v>
      </c>
      <c r="B52" s="2">
        <v>46236</v>
      </c>
      <c r="C52" t="s">
        <v>23</v>
      </c>
      <c r="D52">
        <v>1</v>
      </c>
      <c r="E52" s="3">
        <v>9.99</v>
      </c>
      <c r="F52" t="s">
        <v>14</v>
      </c>
    </row>
    <row r="53" spans="1:6">
      <c r="A53" t="s">
        <v>69</v>
      </c>
      <c r="B53" s="2">
        <v>46243</v>
      </c>
      <c r="C53" t="s">
        <v>25</v>
      </c>
      <c r="D53">
        <v>3</v>
      </c>
      <c r="E53" s="3">
        <v>5.99</v>
      </c>
      <c r="F53" t="s">
        <v>17</v>
      </c>
    </row>
    <row r="54" spans="1:6">
      <c r="A54" t="s">
        <v>70</v>
      </c>
      <c r="B54" s="2">
        <v>46250</v>
      </c>
      <c r="C54" t="s">
        <v>7</v>
      </c>
      <c r="D54">
        <v>5</v>
      </c>
      <c r="E54" s="3">
        <v>49.99</v>
      </c>
      <c r="F54" t="s">
        <v>8</v>
      </c>
    </row>
    <row r="55" spans="1:6">
      <c r="A55" t="s">
        <v>71</v>
      </c>
      <c r="B55" s="2">
        <v>46257</v>
      </c>
      <c r="C55" t="s">
        <v>10</v>
      </c>
      <c r="D55">
        <v>2</v>
      </c>
      <c r="E55" s="3">
        <v>39.99</v>
      </c>
      <c r="F55" t="s">
        <v>11</v>
      </c>
    </row>
    <row r="56" spans="1:6">
      <c r="A56" t="s">
        <v>72</v>
      </c>
      <c r="B56" s="2">
        <v>46239</v>
      </c>
      <c r="C56" t="s">
        <v>13</v>
      </c>
      <c r="D56">
        <v>4</v>
      </c>
      <c r="E56" s="3">
        <v>25</v>
      </c>
      <c r="F56" t="s">
        <v>14</v>
      </c>
    </row>
    <row r="57" spans="1:6">
      <c r="A57" t="s">
        <v>73</v>
      </c>
      <c r="B57" s="2">
        <v>46246</v>
      </c>
      <c r="C57" t="s">
        <v>16</v>
      </c>
      <c r="D57">
        <v>1</v>
      </c>
      <c r="E57" s="3">
        <v>18.989999999999998</v>
      </c>
      <c r="F57" t="s">
        <v>17</v>
      </c>
    </row>
    <row r="58" spans="1:6">
      <c r="A58" t="s">
        <v>74</v>
      </c>
      <c r="B58" s="2">
        <v>46253</v>
      </c>
      <c r="C58" t="s">
        <v>19</v>
      </c>
      <c r="D58">
        <v>3</v>
      </c>
      <c r="E58" s="3">
        <v>14.5</v>
      </c>
      <c r="F58" t="s">
        <v>8</v>
      </c>
    </row>
    <row r="59" spans="1:6">
      <c r="A59" t="s">
        <v>75</v>
      </c>
      <c r="B59" s="2">
        <v>46260</v>
      </c>
      <c r="C59" t="s">
        <v>21</v>
      </c>
      <c r="D59">
        <v>5</v>
      </c>
      <c r="E59" s="3">
        <v>59.99</v>
      </c>
      <c r="F59" t="s">
        <v>11</v>
      </c>
    </row>
    <row r="60" spans="1:6">
      <c r="A60" t="s">
        <v>76</v>
      </c>
      <c r="B60" s="2">
        <v>46242</v>
      </c>
      <c r="C60" t="s">
        <v>23</v>
      </c>
      <c r="D60">
        <v>-2</v>
      </c>
      <c r="E60" s="3">
        <v>9.99</v>
      </c>
      <c r="F60" t="s">
        <v>14</v>
      </c>
    </row>
    <row r="61" spans="1:6">
      <c r="A61" t="s">
        <v>77</v>
      </c>
      <c r="B61" s="2">
        <v>46249</v>
      </c>
      <c r="C61" t="s">
        <v>25</v>
      </c>
      <c r="D61">
        <v>4</v>
      </c>
      <c r="E61" s="3">
        <v>5.99</v>
      </c>
      <c r="F61" t="s">
        <v>17</v>
      </c>
    </row>
    <row r="62" spans="1:6">
      <c r="A62" t="s">
        <v>78</v>
      </c>
      <c r="B62" s="2">
        <v>46287</v>
      </c>
      <c r="C62" t="s">
        <v>21</v>
      </c>
      <c r="D62">
        <v>1</v>
      </c>
      <c r="E62" s="3">
        <v>59.99</v>
      </c>
      <c r="F62" t="s">
        <v>17</v>
      </c>
    </row>
    <row r="63" spans="1:6">
      <c r="A63" t="s">
        <v>79</v>
      </c>
      <c r="B63" s="2">
        <v>46269</v>
      </c>
      <c r="C63" t="s">
        <v>23</v>
      </c>
      <c r="D63">
        <v>3</v>
      </c>
      <c r="E63" s="3">
        <v>9.99</v>
      </c>
      <c r="F63" t="s">
        <v>8</v>
      </c>
    </row>
    <row r="64" spans="1:6">
      <c r="A64" t="s">
        <v>80</v>
      </c>
      <c r="B64" s="2">
        <v>46276</v>
      </c>
      <c r="C64" t="s">
        <v>25</v>
      </c>
      <c r="D64">
        <v>5</v>
      </c>
      <c r="E64" s="3">
        <v>5.99</v>
      </c>
      <c r="F64" t="s">
        <v>11</v>
      </c>
    </row>
    <row r="65" spans="1:6">
      <c r="A65" t="s">
        <v>81</v>
      </c>
      <c r="B65" s="2">
        <v>46283</v>
      </c>
      <c r="C65" t="s">
        <v>7</v>
      </c>
      <c r="D65">
        <v>2</v>
      </c>
      <c r="E65" s="3">
        <v>49.99</v>
      </c>
      <c r="F65" t="s">
        <v>14</v>
      </c>
    </row>
    <row r="66" spans="1:6">
      <c r="A66" t="s">
        <v>82</v>
      </c>
      <c r="B66" s="2">
        <v>46290</v>
      </c>
      <c r="C66" t="s">
        <v>10</v>
      </c>
      <c r="D66">
        <v>4</v>
      </c>
      <c r="E66" s="3">
        <v>39.99</v>
      </c>
      <c r="F66" t="s">
        <v>17</v>
      </c>
    </row>
    <row r="67" spans="1:6">
      <c r="A67" t="s">
        <v>83</v>
      </c>
      <c r="B67" s="2">
        <v>46272</v>
      </c>
      <c r="C67" t="s">
        <v>13</v>
      </c>
      <c r="D67">
        <v>1</v>
      </c>
      <c r="E67" s="3">
        <v>25</v>
      </c>
      <c r="F67" t="s">
        <v>8</v>
      </c>
    </row>
    <row r="68" spans="1:6">
      <c r="A68" t="s">
        <v>84</v>
      </c>
      <c r="B68" s="2">
        <v>46279</v>
      </c>
      <c r="C68" t="s">
        <v>16</v>
      </c>
      <c r="D68">
        <v>3</v>
      </c>
      <c r="E68" s="3">
        <v>18.989999999999998</v>
      </c>
      <c r="F68" t="s">
        <v>11</v>
      </c>
    </row>
    <row r="69" spans="1:6">
      <c r="A69" t="s">
        <v>84</v>
      </c>
      <c r="B69" s="2">
        <v>46286</v>
      </c>
      <c r="C69" t="s">
        <v>19</v>
      </c>
      <c r="D69">
        <v>5</v>
      </c>
      <c r="E69" s="3">
        <v>14.5</v>
      </c>
      <c r="F69" t="s">
        <v>14</v>
      </c>
    </row>
    <row r="70" spans="1:6">
      <c r="A70" t="s">
        <v>85</v>
      </c>
      <c r="B70" s="2">
        <v>46268</v>
      </c>
      <c r="C70" t="s">
        <v>21</v>
      </c>
      <c r="D70">
        <v>2</v>
      </c>
      <c r="E70" s="3">
        <v>59.99</v>
      </c>
      <c r="F70" t="s">
        <v>17</v>
      </c>
    </row>
    <row r="71" spans="1:6">
      <c r="A71" t="s">
        <v>86</v>
      </c>
      <c r="B71" s="2">
        <v>46275</v>
      </c>
      <c r="C71" t="s">
        <v>23</v>
      </c>
      <c r="D71">
        <v>4</v>
      </c>
      <c r="E71" s="3">
        <v>9.99</v>
      </c>
      <c r="F71" t="s">
        <v>8</v>
      </c>
    </row>
    <row r="72" spans="1:6">
      <c r="A72" t="s">
        <v>87</v>
      </c>
      <c r="B72" s="2">
        <v>46282</v>
      </c>
      <c r="C72" t="s">
        <v>25</v>
      </c>
      <c r="D72">
        <v>1</v>
      </c>
      <c r="E72" s="3">
        <v>5.99</v>
      </c>
      <c r="F72" t="s">
        <v>11</v>
      </c>
    </row>
    <row r="73" spans="1:6">
      <c r="A73" t="s">
        <v>88</v>
      </c>
      <c r="B73" s="2">
        <v>46289</v>
      </c>
      <c r="C73" t="s">
        <v>7</v>
      </c>
      <c r="D73">
        <v>3</v>
      </c>
      <c r="E73" s="3">
        <v>49.99</v>
      </c>
      <c r="F73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6" customWidth="1"/>
    <col min="2" max="2" width="23" customWidth="1"/>
    <col min="3" max="3" width="19" customWidth="1"/>
    <col min="4" max="4" width="17" customWidth="1"/>
  </cols>
  <sheetData>
    <row r="1" spans="1:4" ht="26" customHeight="1">
      <c r="A1" s="1" t="s">
        <v>2</v>
      </c>
      <c r="B1" s="1" t="s">
        <v>89</v>
      </c>
      <c r="C1" s="1" t="s">
        <v>90</v>
      </c>
      <c r="D1" s="1" t="s">
        <v>91</v>
      </c>
    </row>
    <row r="2" spans="1:4">
      <c r="A2" t="s">
        <v>7</v>
      </c>
      <c r="B2" t="s">
        <v>92</v>
      </c>
      <c r="C2" t="s">
        <v>93</v>
      </c>
      <c r="D2" s="3">
        <v>24.5</v>
      </c>
    </row>
    <row r="3" spans="1:4">
      <c r="A3" t="s">
        <v>21</v>
      </c>
      <c r="B3" t="s">
        <v>94</v>
      </c>
      <c r="C3" t="s">
        <v>93</v>
      </c>
      <c r="D3" s="3">
        <v>29</v>
      </c>
    </row>
    <row r="4" spans="1:4">
      <c r="A4" t="s">
        <v>13</v>
      </c>
      <c r="B4" t="s">
        <v>95</v>
      </c>
      <c r="C4" t="s">
        <v>96</v>
      </c>
      <c r="D4" s="3">
        <v>12</v>
      </c>
    </row>
    <row r="5" spans="1:4">
      <c r="A5" t="s">
        <v>25</v>
      </c>
      <c r="B5" t="s">
        <v>97</v>
      </c>
      <c r="C5" t="s">
        <v>98</v>
      </c>
      <c r="D5" s="3">
        <v>2.2000000000000002</v>
      </c>
    </row>
    <row r="6" spans="1:4">
      <c r="A6" t="s">
        <v>19</v>
      </c>
      <c r="B6" t="s">
        <v>99</v>
      </c>
      <c r="C6" t="s">
        <v>96</v>
      </c>
      <c r="D6" s="3">
        <v>6.5</v>
      </c>
    </row>
    <row r="7" spans="1:4">
      <c r="A7" t="s">
        <v>10</v>
      </c>
      <c r="B7" t="s">
        <v>100</v>
      </c>
      <c r="C7" t="s">
        <v>101</v>
      </c>
      <c r="D7" s="3">
        <v>18</v>
      </c>
    </row>
    <row r="8" spans="1:4">
      <c r="A8" t="s">
        <v>23</v>
      </c>
      <c r="B8" t="s">
        <v>102</v>
      </c>
      <c r="C8" t="s">
        <v>101</v>
      </c>
      <c r="D8" s="3">
        <v>3.1</v>
      </c>
    </row>
    <row r="9" spans="1:4">
      <c r="A9" t="s">
        <v>16</v>
      </c>
      <c r="B9" t="s">
        <v>103</v>
      </c>
      <c r="C9" t="s">
        <v>98</v>
      </c>
      <c r="D9" s="3">
        <v>7.2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6" customWidth="1"/>
    <col min="2" max="2" width="22" customWidth="1"/>
    <col min="3" max="3" width="16" customWidth="1"/>
  </cols>
  <sheetData>
    <row r="1" spans="1:3" ht="26" customHeight="1">
      <c r="A1" s="1" t="s">
        <v>5</v>
      </c>
      <c r="B1" s="1" t="s">
        <v>104</v>
      </c>
      <c r="C1" s="1" t="s">
        <v>105</v>
      </c>
    </row>
    <row r="2" spans="1:3">
      <c r="A2" t="s">
        <v>8</v>
      </c>
      <c r="B2" t="s">
        <v>106</v>
      </c>
      <c r="C2" t="s">
        <v>107</v>
      </c>
    </row>
    <row r="3" spans="1:3">
      <c r="A3" t="s">
        <v>17</v>
      </c>
      <c r="B3" t="s">
        <v>108</v>
      </c>
      <c r="C3" t="s">
        <v>107</v>
      </c>
    </row>
    <row r="4" spans="1:3">
      <c r="A4" t="s">
        <v>14</v>
      </c>
      <c r="B4" t="s">
        <v>109</v>
      </c>
      <c r="C4" t="s">
        <v>107</v>
      </c>
    </row>
    <row r="5" spans="1:3">
      <c r="A5" t="s">
        <v>11</v>
      </c>
      <c r="B5" t="s">
        <v>110</v>
      </c>
      <c r="C5" t="s">
        <v>107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091B6-C5FF-C341-B734-E7B741107120}">
  <dimension ref="A1:F27"/>
  <sheetViews>
    <sheetView topLeftCell="A14" workbookViewId="0">
      <selection activeCell="A16" sqref="A16:B16"/>
    </sheetView>
  </sheetViews>
  <sheetFormatPr baseColWidth="10" defaultRowHeight="14"/>
  <cols>
    <col min="1" max="1" width="32.1640625" bestFit="1" customWidth="1"/>
    <col min="2" max="2" width="99.33203125" bestFit="1" customWidth="1"/>
  </cols>
  <sheetData>
    <row r="1" spans="1:6" ht="33">
      <c r="A1" s="22" t="s">
        <v>147</v>
      </c>
      <c r="B1" s="22"/>
      <c r="C1" s="22"/>
      <c r="D1" s="22"/>
      <c r="E1" s="22"/>
      <c r="F1" s="22"/>
    </row>
    <row r="5" spans="1:6" ht="27">
      <c r="A5" s="19" t="s">
        <v>148</v>
      </c>
      <c r="B5" s="18" t="s">
        <v>155</v>
      </c>
    </row>
    <row r="6" spans="1:6" ht="26">
      <c r="A6" s="12" t="s">
        <v>149</v>
      </c>
      <c r="B6" s="16" t="s">
        <v>156</v>
      </c>
    </row>
    <row r="7" spans="1:6" ht="26">
      <c r="A7" s="13" t="s">
        <v>150</v>
      </c>
      <c r="B7" s="16" t="s">
        <v>157</v>
      </c>
    </row>
    <row r="8" spans="1:6" ht="26">
      <c r="A8" s="13" t="s">
        <v>151</v>
      </c>
      <c r="B8" s="15" t="s">
        <v>158</v>
      </c>
    </row>
    <row r="9" spans="1:6" ht="26">
      <c r="A9" s="13" t="s">
        <v>152</v>
      </c>
      <c r="B9" s="15" t="s">
        <v>159</v>
      </c>
    </row>
    <row r="10" spans="1:6" ht="26">
      <c r="A10" s="13" t="s">
        <v>153</v>
      </c>
      <c r="B10" s="15" t="s">
        <v>160</v>
      </c>
    </row>
    <row r="11" spans="1:6" ht="26">
      <c r="A11" s="13" t="s">
        <v>154</v>
      </c>
      <c r="B11" s="15" t="s">
        <v>161</v>
      </c>
    </row>
    <row r="16" spans="1:6" ht="33">
      <c r="A16" s="22" t="s">
        <v>162</v>
      </c>
      <c r="B16" s="23"/>
    </row>
    <row r="19" spans="1:1" ht="30">
      <c r="A19" s="14" t="s">
        <v>162</v>
      </c>
    </row>
    <row r="20" spans="1:1">
      <c r="A20" s="14"/>
    </row>
    <row r="21" spans="1:1" ht="60">
      <c r="A21" s="14" t="s">
        <v>163</v>
      </c>
    </row>
    <row r="22" spans="1:1">
      <c r="A22" s="14"/>
    </row>
    <row r="23" spans="1:1" ht="105">
      <c r="A23" s="14" t="s">
        <v>164</v>
      </c>
    </row>
    <row r="24" spans="1:1">
      <c r="A24" s="14"/>
    </row>
    <row r="25" spans="1:1" ht="60">
      <c r="A25" s="14" t="s">
        <v>165</v>
      </c>
    </row>
    <row r="26" spans="1:1">
      <c r="A26" s="14"/>
    </row>
    <row r="27" spans="1:1" ht="75">
      <c r="A27" s="14" t="s">
        <v>166</v>
      </c>
    </row>
  </sheetData>
  <mergeCells count="2">
    <mergeCell ref="A1:F1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 cleaned</vt:lpstr>
      <vt:lpstr>Pivot Table</vt:lpstr>
      <vt:lpstr>Detail1</vt:lpstr>
      <vt:lpstr>Sales</vt:lpstr>
      <vt:lpstr>Products</vt:lpstr>
      <vt:lpstr>Regions</vt:lpstr>
      <vt:lpstr>Business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Lavonte Culmer</cp:lastModifiedBy>
  <dcterms:created xsi:type="dcterms:W3CDTF">2026-10-16T02:05:49Z</dcterms:created>
  <dcterms:modified xsi:type="dcterms:W3CDTF">2026-10-16T17:50:29Z</dcterms:modified>
</cp:coreProperties>
</file>